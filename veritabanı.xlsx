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4"/>
  <workbookPr/>
  <mc:AlternateContent xmlns:mc="http://schemas.openxmlformats.org/markup-compatibility/2006">
    <mc:Choice Requires="x15">
      <x15ac:absPath xmlns:x15ac="http://schemas.microsoft.com/office/spreadsheetml/2010/11/ac" url="C:\Users\furka\OneDrive\Masaüstü\"/>
    </mc:Choice>
  </mc:AlternateContent>
  <xr:revisionPtr revIDLastSave="0" documentId="8_{E6856DE5-65A4-9D48-BECB-E866B788F08E}" xr6:coauthVersionLast="47" xr6:coauthVersionMax="47" xr10:uidLastSave="{00000000-0000-0000-0000-000000000000}"/>
  <bookViews>
    <workbookView xWindow="-120" yWindow="-120" windowWidth="29040" windowHeight="15720" xr2:uid="{00000000-000D-0000-FFFF-FFFF00000000}"/>
  </bookViews>
  <sheets>
    <sheet name="Oranlar" sheetId="5" r:id="rId1"/>
  </sheets>
  <definedNames>
    <definedName name="_xlnm._FilterDatabase" localSheetId="0" hidden="1">Oranlar!$A$1:$P$761</definedName>
    <definedName name="_xlnm.Print_Area" localSheetId="0">Oranlar!$A$13:$H$761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5" l="1"/>
  <c r="O4" i="5"/>
  <c r="O5" i="5"/>
  <c r="O6" i="5"/>
  <c r="O7" i="5"/>
  <c r="O8" i="5"/>
  <c r="O9" i="5"/>
  <c r="O10" i="5"/>
  <c r="O11" i="5"/>
  <c r="O12" i="5"/>
  <c r="O13" i="5"/>
  <c r="O14" i="5"/>
  <c r="O15" i="5"/>
  <c r="O16" i="5"/>
  <c r="O17" i="5"/>
  <c r="O18" i="5"/>
  <c r="O19" i="5"/>
  <c r="O20" i="5"/>
  <c r="O21" i="5"/>
  <c r="N22"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N72" i="5"/>
  <c r="O72" i="5"/>
  <c r="O73" i="5"/>
  <c r="O74" i="5"/>
  <c r="O75" i="5"/>
  <c r="O76" i="5"/>
  <c r="O77" i="5"/>
  <c r="O78" i="5"/>
  <c r="O79" i="5"/>
  <c r="O80" i="5"/>
  <c r="O81" i="5"/>
  <c r="N82" i="5"/>
  <c r="O82" i="5"/>
  <c r="N83" i="5"/>
  <c r="O83" i="5"/>
  <c r="O84" i="5"/>
  <c r="O85" i="5"/>
  <c r="O86" i="5"/>
  <c r="O87" i="5"/>
  <c r="O88" i="5"/>
  <c r="O89" i="5"/>
  <c r="O90" i="5"/>
  <c r="O91" i="5"/>
  <c r="O92" i="5"/>
  <c r="O93" i="5"/>
  <c r="O94" i="5"/>
  <c r="O95" i="5"/>
  <c r="O96" i="5"/>
  <c r="O97" i="5"/>
  <c r="O98" i="5"/>
  <c r="O99" i="5"/>
  <c r="O100" i="5"/>
  <c r="O101" i="5"/>
  <c r="O102" i="5"/>
  <c r="N103"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N144" i="5"/>
  <c r="O144" i="5"/>
  <c r="N145" i="5"/>
  <c r="O145" i="5"/>
  <c r="P145" i="5"/>
  <c r="O146" i="5"/>
  <c r="O147" i="5"/>
  <c r="O148" i="5"/>
  <c r="O149" i="5"/>
  <c r="O150" i="5"/>
  <c r="O151" i="5"/>
  <c r="O152" i="5"/>
  <c r="O153" i="5"/>
  <c r="O154" i="5"/>
  <c r="O155" i="5"/>
  <c r="O156" i="5"/>
  <c r="O157" i="5"/>
  <c r="O158" i="5"/>
  <c r="O159" i="5"/>
  <c r="O160" i="5"/>
  <c r="O161" i="5"/>
  <c r="O162" i="5"/>
  <c r="O163" i="5"/>
  <c r="O164" i="5"/>
  <c r="N165" i="5"/>
  <c r="O165" i="5"/>
  <c r="O166" i="5"/>
  <c r="O167" i="5"/>
  <c r="O168" i="5"/>
  <c r="O169" i="5"/>
  <c r="O170" i="5"/>
  <c r="O171" i="5"/>
  <c r="O172" i="5"/>
  <c r="O173" i="5"/>
  <c r="O174" i="5"/>
  <c r="N175"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N237" i="5"/>
  <c r="O237" i="5"/>
  <c r="O238" i="5"/>
  <c r="O239" i="5"/>
  <c r="O240" i="5"/>
  <c r="O241" i="5"/>
  <c r="O242" i="5"/>
  <c r="O243" i="5"/>
  <c r="O244" i="5"/>
  <c r="O245" i="5"/>
  <c r="O246" i="5"/>
  <c r="N247"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N287"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N454" i="5"/>
  <c r="O454" i="5"/>
  <c r="N455" i="5"/>
  <c r="O455" i="5"/>
  <c r="O456" i="5"/>
  <c r="O457" i="5"/>
  <c r="O458" i="5"/>
  <c r="O459" i="5"/>
  <c r="O460" i="5"/>
  <c r="O461" i="5"/>
  <c r="O462" i="5"/>
  <c r="O463" i="5"/>
  <c r="O464" i="5"/>
  <c r="O465" i="5"/>
  <c r="O466" i="5"/>
  <c r="O467" i="5"/>
  <c r="O468" i="5"/>
  <c r="O469" i="5"/>
  <c r="O470" i="5"/>
  <c r="O471" i="5"/>
  <c r="O472" i="5"/>
  <c r="O473" i="5"/>
  <c r="O474" i="5"/>
  <c r="N475"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N607" i="5"/>
  <c r="O607" i="5"/>
  <c r="O608" i="5"/>
  <c r="O609" i="5"/>
  <c r="O610" i="5"/>
  <c r="O611" i="5"/>
  <c r="O612" i="5"/>
  <c r="O613" i="5"/>
  <c r="O614" i="5"/>
  <c r="O615" i="5"/>
  <c r="O616" i="5"/>
  <c r="O617" i="5"/>
  <c r="O618" i="5"/>
  <c r="O619" i="5"/>
  <c r="O620" i="5"/>
  <c r="O621" i="5"/>
  <c r="O622" i="5"/>
  <c r="O623" i="5"/>
  <c r="O624" i="5"/>
  <c r="O625" i="5"/>
  <c r="O626" i="5"/>
  <c r="O627" i="5"/>
  <c r="N628"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N670" i="5"/>
  <c r="O670" i="5"/>
  <c r="O671" i="5"/>
  <c r="O672" i="5"/>
  <c r="O673" i="5"/>
  <c r="O674" i="5"/>
  <c r="O675" i="5"/>
  <c r="O676" i="5"/>
  <c r="O677" i="5"/>
  <c r="O678" i="5"/>
  <c r="O679" i="5"/>
  <c r="N680"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N741" i="5"/>
  <c r="O741" i="5"/>
  <c r="P741" i="5"/>
  <c r="O742" i="5"/>
  <c r="O743" i="5"/>
  <c r="O744" i="5"/>
  <c r="O745" i="5"/>
  <c r="O746" i="5"/>
  <c r="O747" i="5"/>
  <c r="O748" i="5"/>
  <c r="O749" i="5"/>
  <c r="O750" i="5"/>
  <c r="O751" i="5"/>
  <c r="O752" i="5"/>
  <c r="O753" i="5"/>
  <c r="O754" i="5"/>
  <c r="O755" i="5"/>
  <c r="O756" i="5"/>
  <c r="O757" i="5"/>
  <c r="O758" i="5"/>
  <c r="O759" i="5"/>
  <c r="O760" i="5"/>
  <c r="O761" i="5"/>
  <c r="O2" i="5"/>
  <c r="J3" i="5"/>
  <c r="K3" i="5"/>
  <c r="J4" i="5"/>
  <c r="K4" i="5"/>
  <c r="J5" i="5"/>
  <c r="K5" i="5"/>
  <c r="J6" i="5"/>
  <c r="K6" i="5"/>
  <c r="J7" i="5"/>
  <c r="K7" i="5"/>
  <c r="J8" i="5"/>
  <c r="K8" i="5"/>
  <c r="J9" i="5"/>
  <c r="K9" i="5"/>
  <c r="J10" i="5"/>
  <c r="K10" i="5"/>
  <c r="J11" i="5"/>
  <c r="K11" i="5"/>
  <c r="J12" i="5"/>
  <c r="K12" i="5"/>
  <c r="J13" i="5"/>
  <c r="K13" i="5"/>
  <c r="J14" i="5"/>
  <c r="K14" i="5"/>
  <c r="J15" i="5"/>
  <c r="K15" i="5"/>
  <c r="J16" i="5"/>
  <c r="K16" i="5"/>
  <c r="J17" i="5"/>
  <c r="K17" i="5"/>
  <c r="J18" i="5"/>
  <c r="K18" i="5"/>
  <c r="J19" i="5"/>
  <c r="K19" i="5"/>
  <c r="J20" i="5"/>
  <c r="K20" i="5"/>
  <c r="J21" i="5"/>
  <c r="K21" i="5"/>
  <c r="J22" i="5"/>
  <c r="K22" i="5"/>
  <c r="J23" i="5"/>
  <c r="K23" i="5"/>
  <c r="J24" i="5"/>
  <c r="K24" i="5"/>
  <c r="J25" i="5"/>
  <c r="K25" i="5"/>
  <c r="J26" i="5"/>
  <c r="K26" i="5"/>
  <c r="J27" i="5"/>
  <c r="K27" i="5"/>
  <c r="J28" i="5"/>
  <c r="K28" i="5"/>
  <c r="J29" i="5"/>
  <c r="K29" i="5"/>
  <c r="J30" i="5"/>
  <c r="K30" i="5"/>
  <c r="J31" i="5"/>
  <c r="K31" i="5"/>
  <c r="J32" i="5"/>
  <c r="K32" i="5"/>
  <c r="J33" i="5"/>
  <c r="K33" i="5"/>
  <c r="J34" i="5"/>
  <c r="K34" i="5"/>
  <c r="J35" i="5"/>
  <c r="K35" i="5"/>
  <c r="J36" i="5"/>
  <c r="K36" i="5"/>
  <c r="J37" i="5"/>
  <c r="K37" i="5"/>
  <c r="J38" i="5"/>
  <c r="K38" i="5"/>
  <c r="J39" i="5"/>
  <c r="K39" i="5"/>
  <c r="J40" i="5"/>
  <c r="K40" i="5"/>
  <c r="J41" i="5"/>
  <c r="K41" i="5"/>
  <c r="J42" i="5"/>
  <c r="K42" i="5"/>
  <c r="J43" i="5"/>
  <c r="K43" i="5"/>
  <c r="J44" i="5"/>
  <c r="K44" i="5"/>
  <c r="J45" i="5"/>
  <c r="K45" i="5"/>
  <c r="J46" i="5"/>
  <c r="K46" i="5"/>
  <c r="J47" i="5"/>
  <c r="K47" i="5"/>
  <c r="J48" i="5"/>
  <c r="K48" i="5"/>
  <c r="L48" i="5"/>
  <c r="J49" i="5"/>
  <c r="K49" i="5"/>
  <c r="J50" i="5"/>
  <c r="K50" i="5"/>
  <c r="J51" i="5"/>
  <c r="K51" i="5"/>
  <c r="J52" i="5"/>
  <c r="K52" i="5"/>
  <c r="J53" i="5"/>
  <c r="K53" i="5"/>
  <c r="J54" i="5"/>
  <c r="K54" i="5"/>
  <c r="J55" i="5"/>
  <c r="K55" i="5"/>
  <c r="J56" i="5"/>
  <c r="K56" i="5"/>
  <c r="J57" i="5"/>
  <c r="K57" i="5"/>
  <c r="J58" i="5"/>
  <c r="K58" i="5"/>
  <c r="J59" i="5"/>
  <c r="K59" i="5"/>
  <c r="J60" i="5"/>
  <c r="K60" i="5"/>
  <c r="J61" i="5"/>
  <c r="K61" i="5"/>
  <c r="J62" i="5"/>
  <c r="K62" i="5"/>
  <c r="J63" i="5"/>
  <c r="K63" i="5"/>
  <c r="J64" i="5"/>
  <c r="K64" i="5"/>
  <c r="J65" i="5"/>
  <c r="K65" i="5"/>
  <c r="J66" i="5"/>
  <c r="K66" i="5"/>
  <c r="J67" i="5"/>
  <c r="K67" i="5"/>
  <c r="J68" i="5"/>
  <c r="K68" i="5"/>
  <c r="J69" i="5"/>
  <c r="K69" i="5"/>
  <c r="J70" i="5"/>
  <c r="K70" i="5"/>
  <c r="J71" i="5"/>
  <c r="K71" i="5"/>
  <c r="J72" i="5"/>
  <c r="K72" i="5"/>
  <c r="J73" i="5"/>
  <c r="K73" i="5"/>
  <c r="J74" i="5"/>
  <c r="K74" i="5"/>
  <c r="J75" i="5"/>
  <c r="K75" i="5"/>
  <c r="J76" i="5"/>
  <c r="K76" i="5"/>
  <c r="J77" i="5"/>
  <c r="K77" i="5"/>
  <c r="J78" i="5"/>
  <c r="K78" i="5"/>
  <c r="J79" i="5"/>
  <c r="K79" i="5"/>
  <c r="J80" i="5"/>
  <c r="K80" i="5"/>
  <c r="J81" i="5"/>
  <c r="K81" i="5"/>
  <c r="J82" i="5"/>
  <c r="K82" i="5"/>
  <c r="J83" i="5"/>
  <c r="K83" i="5"/>
  <c r="J84" i="5"/>
  <c r="K84" i="5"/>
  <c r="J85" i="5"/>
  <c r="K85" i="5"/>
  <c r="J86" i="5"/>
  <c r="K86" i="5"/>
  <c r="J87" i="5"/>
  <c r="K87" i="5"/>
  <c r="J88" i="5"/>
  <c r="K88" i="5"/>
  <c r="J89" i="5"/>
  <c r="K89" i="5"/>
  <c r="J90" i="5"/>
  <c r="K90" i="5"/>
  <c r="J91" i="5"/>
  <c r="K91" i="5"/>
  <c r="J92" i="5"/>
  <c r="K92" i="5"/>
  <c r="J93" i="5"/>
  <c r="K93" i="5"/>
  <c r="J94" i="5"/>
  <c r="K94" i="5"/>
  <c r="J95" i="5"/>
  <c r="K95" i="5"/>
  <c r="J96" i="5"/>
  <c r="K96" i="5"/>
  <c r="J97" i="5"/>
  <c r="K97" i="5"/>
  <c r="J98" i="5"/>
  <c r="K98" i="5"/>
  <c r="J99" i="5"/>
  <c r="K99" i="5"/>
  <c r="J100" i="5"/>
  <c r="K100" i="5"/>
  <c r="J101" i="5"/>
  <c r="K101" i="5"/>
  <c r="J102" i="5"/>
  <c r="K102" i="5"/>
  <c r="J103" i="5"/>
  <c r="K103" i="5"/>
  <c r="J104" i="5"/>
  <c r="K104" i="5"/>
  <c r="J105" i="5"/>
  <c r="K105" i="5"/>
  <c r="J106" i="5"/>
  <c r="K106" i="5"/>
  <c r="J107" i="5"/>
  <c r="K107" i="5"/>
  <c r="L107" i="5"/>
  <c r="J108" i="5"/>
  <c r="K108" i="5"/>
  <c r="J109" i="5"/>
  <c r="K109" i="5"/>
  <c r="J110" i="5"/>
  <c r="K110" i="5"/>
  <c r="J111" i="5"/>
  <c r="K111" i="5"/>
  <c r="J112" i="5"/>
  <c r="K112" i="5"/>
  <c r="J113" i="5"/>
  <c r="K113" i="5"/>
  <c r="J114" i="5"/>
  <c r="K114" i="5"/>
  <c r="J115" i="5"/>
  <c r="K115" i="5"/>
  <c r="J116" i="5"/>
  <c r="K116" i="5"/>
  <c r="J117" i="5"/>
  <c r="K117" i="5"/>
  <c r="J118" i="5"/>
  <c r="K118" i="5"/>
  <c r="J119" i="5"/>
  <c r="K119" i="5"/>
  <c r="J120" i="5"/>
  <c r="K120" i="5"/>
  <c r="J121" i="5"/>
  <c r="K121" i="5"/>
  <c r="J122" i="5"/>
  <c r="K122" i="5"/>
  <c r="J123" i="5"/>
  <c r="K123" i="5"/>
  <c r="J124" i="5"/>
  <c r="K124" i="5"/>
  <c r="J125" i="5"/>
  <c r="K125" i="5"/>
  <c r="J126" i="5"/>
  <c r="K126" i="5"/>
  <c r="J127" i="5"/>
  <c r="K127" i="5"/>
  <c r="J128" i="5"/>
  <c r="K128" i="5"/>
  <c r="J129" i="5"/>
  <c r="K129" i="5"/>
  <c r="J130" i="5"/>
  <c r="K130" i="5"/>
  <c r="J131" i="5"/>
  <c r="K131" i="5"/>
  <c r="J132" i="5"/>
  <c r="K132" i="5"/>
  <c r="J133" i="5"/>
  <c r="K133" i="5"/>
  <c r="J134" i="5"/>
  <c r="K134" i="5"/>
  <c r="J135" i="5"/>
  <c r="K135" i="5"/>
  <c r="J136" i="5"/>
  <c r="K136" i="5"/>
  <c r="J137" i="5"/>
  <c r="K137" i="5"/>
  <c r="J138" i="5"/>
  <c r="K138" i="5"/>
  <c r="J139" i="5"/>
  <c r="K139" i="5"/>
  <c r="J140" i="5"/>
  <c r="K140" i="5"/>
  <c r="J141" i="5"/>
  <c r="K141" i="5"/>
  <c r="J142" i="5"/>
  <c r="K142" i="5"/>
  <c r="J143" i="5"/>
  <c r="K143" i="5"/>
  <c r="J144" i="5"/>
  <c r="K144" i="5"/>
  <c r="J145" i="5"/>
  <c r="K145" i="5"/>
  <c r="J146" i="5"/>
  <c r="K146" i="5"/>
  <c r="J147" i="5"/>
  <c r="K147" i="5"/>
  <c r="J148" i="5"/>
  <c r="K148" i="5"/>
  <c r="J149" i="5"/>
  <c r="K149" i="5"/>
  <c r="J150" i="5"/>
  <c r="K150" i="5"/>
  <c r="J151" i="5"/>
  <c r="K151" i="5"/>
  <c r="J152" i="5"/>
  <c r="K152" i="5"/>
  <c r="J153" i="5"/>
  <c r="K153" i="5"/>
  <c r="J154" i="5"/>
  <c r="K154" i="5"/>
  <c r="J155" i="5"/>
  <c r="K155" i="5"/>
  <c r="J156" i="5"/>
  <c r="K156" i="5"/>
  <c r="J157" i="5"/>
  <c r="K157" i="5"/>
  <c r="J158" i="5"/>
  <c r="K158" i="5"/>
  <c r="J159" i="5"/>
  <c r="K159" i="5"/>
  <c r="J160" i="5"/>
  <c r="K160" i="5"/>
  <c r="J161" i="5"/>
  <c r="K161" i="5"/>
  <c r="J162" i="5"/>
  <c r="K162" i="5"/>
  <c r="J163" i="5"/>
  <c r="K163" i="5"/>
  <c r="J164" i="5"/>
  <c r="K164" i="5"/>
  <c r="J165" i="5"/>
  <c r="K165" i="5"/>
  <c r="J166" i="5"/>
  <c r="K166" i="5"/>
  <c r="J167" i="5"/>
  <c r="K167" i="5"/>
  <c r="J168" i="5"/>
  <c r="K168" i="5"/>
  <c r="J169" i="5"/>
  <c r="K169" i="5"/>
  <c r="J170" i="5"/>
  <c r="K170" i="5"/>
  <c r="J171" i="5"/>
  <c r="K171" i="5"/>
  <c r="J172" i="5"/>
  <c r="K172" i="5"/>
  <c r="J173" i="5"/>
  <c r="K173" i="5"/>
  <c r="J174" i="5"/>
  <c r="K174" i="5"/>
  <c r="J175" i="5"/>
  <c r="K175" i="5"/>
  <c r="J176" i="5"/>
  <c r="K176" i="5"/>
  <c r="J177" i="5"/>
  <c r="K177" i="5"/>
  <c r="J178" i="5"/>
  <c r="K178" i="5"/>
  <c r="J179" i="5"/>
  <c r="K179" i="5"/>
  <c r="J180" i="5"/>
  <c r="K180" i="5"/>
  <c r="J181" i="5"/>
  <c r="K181" i="5"/>
  <c r="J182" i="5"/>
  <c r="K182" i="5"/>
  <c r="J183" i="5"/>
  <c r="K183" i="5"/>
  <c r="J184" i="5"/>
  <c r="K184" i="5"/>
  <c r="J185" i="5"/>
  <c r="K185" i="5"/>
  <c r="J186" i="5"/>
  <c r="K186" i="5"/>
  <c r="J187" i="5"/>
  <c r="K187" i="5"/>
  <c r="J188" i="5"/>
  <c r="K188" i="5"/>
  <c r="J189" i="5"/>
  <c r="K189" i="5"/>
  <c r="J190" i="5"/>
  <c r="K190" i="5"/>
  <c r="J191" i="5"/>
  <c r="K191" i="5"/>
  <c r="J192" i="5"/>
  <c r="K192" i="5"/>
  <c r="J193" i="5"/>
  <c r="K193" i="5"/>
  <c r="J194" i="5"/>
  <c r="K194" i="5"/>
  <c r="J195" i="5"/>
  <c r="K195" i="5"/>
  <c r="J196" i="5"/>
  <c r="K196" i="5"/>
  <c r="J197" i="5"/>
  <c r="K197" i="5"/>
  <c r="J198" i="5"/>
  <c r="K198" i="5"/>
  <c r="J199" i="5"/>
  <c r="K199" i="5"/>
  <c r="J200" i="5"/>
  <c r="K200" i="5"/>
  <c r="J201" i="5"/>
  <c r="K201" i="5"/>
  <c r="J202" i="5"/>
  <c r="K202" i="5"/>
  <c r="J203" i="5"/>
  <c r="K203" i="5"/>
  <c r="J204" i="5"/>
  <c r="K204" i="5"/>
  <c r="J205" i="5"/>
  <c r="K205" i="5"/>
  <c r="J206" i="5"/>
  <c r="K206" i="5"/>
  <c r="J207" i="5"/>
  <c r="K207" i="5"/>
  <c r="J208" i="5"/>
  <c r="K208" i="5"/>
  <c r="J209" i="5"/>
  <c r="K209" i="5"/>
  <c r="J210" i="5"/>
  <c r="K210" i="5"/>
  <c r="J211" i="5"/>
  <c r="K211" i="5"/>
  <c r="J212" i="5"/>
  <c r="K212" i="5"/>
  <c r="J213" i="5"/>
  <c r="K213" i="5"/>
  <c r="J214" i="5"/>
  <c r="K214" i="5"/>
  <c r="J215" i="5"/>
  <c r="K215" i="5"/>
  <c r="J216" i="5"/>
  <c r="K216" i="5"/>
  <c r="J217" i="5"/>
  <c r="K217" i="5"/>
  <c r="J218" i="5"/>
  <c r="K218" i="5"/>
  <c r="J219" i="5"/>
  <c r="K219" i="5"/>
  <c r="J220" i="5"/>
  <c r="K220" i="5"/>
  <c r="J221" i="5"/>
  <c r="K221" i="5"/>
  <c r="J222" i="5"/>
  <c r="K222" i="5"/>
  <c r="J223" i="5"/>
  <c r="K223" i="5"/>
  <c r="J224" i="5"/>
  <c r="K224" i="5"/>
  <c r="J225" i="5"/>
  <c r="K225" i="5"/>
  <c r="J226" i="5"/>
  <c r="K226" i="5"/>
  <c r="J227" i="5"/>
  <c r="K227" i="5"/>
  <c r="J228" i="5"/>
  <c r="K228" i="5"/>
  <c r="J229" i="5"/>
  <c r="K229" i="5"/>
  <c r="J230" i="5"/>
  <c r="K230" i="5"/>
  <c r="J231" i="5"/>
  <c r="K231" i="5"/>
  <c r="J232" i="5"/>
  <c r="K232" i="5"/>
  <c r="J233" i="5"/>
  <c r="K233" i="5"/>
  <c r="J234" i="5"/>
  <c r="K234" i="5"/>
  <c r="J235" i="5"/>
  <c r="K235" i="5"/>
  <c r="J236" i="5"/>
  <c r="K236" i="5"/>
  <c r="J237" i="5"/>
  <c r="K237" i="5"/>
  <c r="J238" i="5"/>
  <c r="K238" i="5"/>
  <c r="J239" i="5"/>
  <c r="K239" i="5"/>
  <c r="J240" i="5"/>
  <c r="K240" i="5"/>
  <c r="J241" i="5"/>
  <c r="K241" i="5"/>
  <c r="J242" i="5"/>
  <c r="K242" i="5"/>
  <c r="J243" i="5"/>
  <c r="K243" i="5"/>
  <c r="J244" i="5"/>
  <c r="K244" i="5"/>
  <c r="J245" i="5"/>
  <c r="K245" i="5"/>
  <c r="J246" i="5"/>
  <c r="K246" i="5"/>
  <c r="J247" i="5"/>
  <c r="K247" i="5"/>
  <c r="J248" i="5"/>
  <c r="K248" i="5"/>
  <c r="J249" i="5"/>
  <c r="K249" i="5"/>
  <c r="J250" i="5"/>
  <c r="K250" i="5"/>
  <c r="J251" i="5"/>
  <c r="K251" i="5"/>
  <c r="J252" i="5"/>
  <c r="K252" i="5"/>
  <c r="J253" i="5"/>
  <c r="K253" i="5"/>
  <c r="J254" i="5"/>
  <c r="K254" i="5"/>
  <c r="J255" i="5"/>
  <c r="K255" i="5"/>
  <c r="J256" i="5"/>
  <c r="K256" i="5"/>
  <c r="J257" i="5"/>
  <c r="K257" i="5"/>
  <c r="J258" i="5"/>
  <c r="K258" i="5"/>
  <c r="J259" i="5"/>
  <c r="K259" i="5"/>
  <c r="J260" i="5"/>
  <c r="K260" i="5"/>
  <c r="J261" i="5"/>
  <c r="K261" i="5"/>
  <c r="J262" i="5"/>
  <c r="K262" i="5"/>
  <c r="J263" i="5"/>
  <c r="K263" i="5"/>
  <c r="J264" i="5"/>
  <c r="K264" i="5"/>
  <c r="J265" i="5"/>
  <c r="K265" i="5"/>
  <c r="J266" i="5"/>
  <c r="K266" i="5"/>
  <c r="J267" i="5"/>
  <c r="K267" i="5"/>
  <c r="J268" i="5"/>
  <c r="K268" i="5"/>
  <c r="J269" i="5"/>
  <c r="K269" i="5"/>
  <c r="J270" i="5"/>
  <c r="K270" i="5"/>
  <c r="J271" i="5"/>
  <c r="K271" i="5"/>
  <c r="J272" i="5"/>
  <c r="K272" i="5"/>
  <c r="J273" i="5"/>
  <c r="K273" i="5"/>
  <c r="J274" i="5"/>
  <c r="K274" i="5"/>
  <c r="J275" i="5"/>
  <c r="K275" i="5"/>
  <c r="J276" i="5"/>
  <c r="K276" i="5"/>
  <c r="J277" i="5"/>
  <c r="K277" i="5"/>
  <c r="J278" i="5"/>
  <c r="K278" i="5"/>
  <c r="J279" i="5"/>
  <c r="K279" i="5"/>
  <c r="J280" i="5"/>
  <c r="K280" i="5"/>
  <c r="J281" i="5"/>
  <c r="K281" i="5"/>
  <c r="J282" i="5"/>
  <c r="K282" i="5"/>
  <c r="J283" i="5"/>
  <c r="K283" i="5"/>
  <c r="J284" i="5"/>
  <c r="K284" i="5"/>
  <c r="J285" i="5"/>
  <c r="K285" i="5"/>
  <c r="J286" i="5"/>
  <c r="K286" i="5"/>
  <c r="J287" i="5"/>
  <c r="K287" i="5"/>
  <c r="J288" i="5"/>
  <c r="K288" i="5"/>
  <c r="J289" i="5"/>
  <c r="K289" i="5"/>
  <c r="J290" i="5"/>
  <c r="K290" i="5"/>
  <c r="J291" i="5"/>
  <c r="K291" i="5"/>
  <c r="L291" i="5"/>
  <c r="J292" i="5"/>
  <c r="K292" i="5"/>
  <c r="J293" i="5"/>
  <c r="K293" i="5"/>
  <c r="J294" i="5"/>
  <c r="K294" i="5"/>
  <c r="J295" i="5"/>
  <c r="K295" i="5"/>
  <c r="J296" i="5"/>
  <c r="K296" i="5"/>
  <c r="J297" i="5"/>
  <c r="K297" i="5"/>
  <c r="J298" i="5"/>
  <c r="K298" i="5"/>
  <c r="J299" i="5"/>
  <c r="K299" i="5"/>
  <c r="J300" i="5"/>
  <c r="K300" i="5"/>
  <c r="J301" i="5"/>
  <c r="K301" i="5"/>
  <c r="J302" i="5"/>
  <c r="K302" i="5"/>
  <c r="J303" i="5"/>
  <c r="K303" i="5"/>
  <c r="J304" i="5"/>
  <c r="K304" i="5"/>
  <c r="J305" i="5"/>
  <c r="K305" i="5"/>
  <c r="J306" i="5"/>
  <c r="K306" i="5"/>
  <c r="J307" i="5"/>
  <c r="K307" i="5"/>
  <c r="J308" i="5"/>
  <c r="K308" i="5"/>
  <c r="J309" i="5"/>
  <c r="K309" i="5"/>
  <c r="J310" i="5"/>
  <c r="K310" i="5"/>
  <c r="J311" i="5"/>
  <c r="K311" i="5"/>
  <c r="J312" i="5"/>
  <c r="K312" i="5"/>
  <c r="J313" i="5"/>
  <c r="K313" i="5"/>
  <c r="J314" i="5"/>
  <c r="K314" i="5"/>
  <c r="J315" i="5"/>
  <c r="K315" i="5"/>
  <c r="J316" i="5"/>
  <c r="K316" i="5"/>
  <c r="J317" i="5"/>
  <c r="K317" i="5"/>
  <c r="J318" i="5"/>
  <c r="K318" i="5"/>
  <c r="J319" i="5"/>
  <c r="K319" i="5"/>
  <c r="J320" i="5"/>
  <c r="K320" i="5"/>
  <c r="J321" i="5"/>
  <c r="K321" i="5"/>
  <c r="J322" i="5"/>
  <c r="K322" i="5"/>
  <c r="J323" i="5"/>
  <c r="K323" i="5"/>
  <c r="J324" i="5"/>
  <c r="K324" i="5"/>
  <c r="J325" i="5"/>
  <c r="K325" i="5"/>
  <c r="J326" i="5"/>
  <c r="K326" i="5"/>
  <c r="J327" i="5"/>
  <c r="K327" i="5"/>
  <c r="J328" i="5"/>
  <c r="K328" i="5"/>
  <c r="J329" i="5"/>
  <c r="K329" i="5"/>
  <c r="J330" i="5"/>
  <c r="K330" i="5"/>
  <c r="J331" i="5"/>
  <c r="K331" i="5"/>
  <c r="J332" i="5"/>
  <c r="K332" i="5"/>
  <c r="J333" i="5"/>
  <c r="K333" i="5"/>
  <c r="J334" i="5"/>
  <c r="K334" i="5"/>
  <c r="J335" i="5"/>
  <c r="K335" i="5"/>
  <c r="J336" i="5"/>
  <c r="K336" i="5"/>
  <c r="J337" i="5"/>
  <c r="K337" i="5"/>
  <c r="J338" i="5"/>
  <c r="K338" i="5"/>
  <c r="J339" i="5"/>
  <c r="K339" i="5"/>
  <c r="J340" i="5"/>
  <c r="K340" i="5"/>
  <c r="J341" i="5"/>
  <c r="K341" i="5"/>
  <c r="J342" i="5"/>
  <c r="K342" i="5"/>
  <c r="J343" i="5"/>
  <c r="K343" i="5"/>
  <c r="J344" i="5"/>
  <c r="K344" i="5"/>
  <c r="J345" i="5"/>
  <c r="K345" i="5"/>
  <c r="J346" i="5"/>
  <c r="K346" i="5"/>
  <c r="J347" i="5"/>
  <c r="K347" i="5"/>
  <c r="J348" i="5"/>
  <c r="K348" i="5"/>
  <c r="J349" i="5"/>
  <c r="K349" i="5"/>
  <c r="J350" i="5"/>
  <c r="K350" i="5"/>
  <c r="J351" i="5"/>
  <c r="K351" i="5"/>
  <c r="J352" i="5"/>
  <c r="K352" i="5"/>
  <c r="J353" i="5"/>
  <c r="K353" i="5"/>
  <c r="J354" i="5"/>
  <c r="K354" i="5"/>
  <c r="J355" i="5"/>
  <c r="K355" i="5"/>
  <c r="J356" i="5"/>
  <c r="K356" i="5"/>
  <c r="J357" i="5"/>
  <c r="K357" i="5"/>
  <c r="J358" i="5"/>
  <c r="K358" i="5"/>
  <c r="L358" i="5"/>
  <c r="J359" i="5"/>
  <c r="K359" i="5"/>
  <c r="J360" i="5"/>
  <c r="K360" i="5"/>
  <c r="J361" i="5"/>
  <c r="K361" i="5"/>
  <c r="J362" i="5"/>
  <c r="K362" i="5"/>
  <c r="J363" i="5"/>
  <c r="K363" i="5"/>
  <c r="J364" i="5"/>
  <c r="K364" i="5"/>
  <c r="J365" i="5"/>
  <c r="K365" i="5"/>
  <c r="J366" i="5"/>
  <c r="K366" i="5"/>
  <c r="J367" i="5"/>
  <c r="K367" i="5"/>
  <c r="J368" i="5"/>
  <c r="K368" i="5"/>
  <c r="J369" i="5"/>
  <c r="K369" i="5"/>
  <c r="J370" i="5"/>
  <c r="K370" i="5"/>
  <c r="J371" i="5"/>
  <c r="K371" i="5"/>
  <c r="J372" i="5"/>
  <c r="K372" i="5"/>
  <c r="J373" i="5"/>
  <c r="K373" i="5"/>
  <c r="J374" i="5"/>
  <c r="K374" i="5"/>
  <c r="J375" i="5"/>
  <c r="K375" i="5"/>
  <c r="J376" i="5"/>
  <c r="K376" i="5"/>
  <c r="J377" i="5"/>
  <c r="K377" i="5"/>
  <c r="J378" i="5"/>
  <c r="K378" i="5"/>
  <c r="J379" i="5"/>
  <c r="K379" i="5"/>
  <c r="J380" i="5"/>
  <c r="K380" i="5"/>
  <c r="J381" i="5"/>
  <c r="K381" i="5"/>
  <c r="J382" i="5"/>
  <c r="K382" i="5"/>
  <c r="J383" i="5"/>
  <c r="K383" i="5"/>
  <c r="J384" i="5"/>
  <c r="K384" i="5"/>
  <c r="J385" i="5"/>
  <c r="K385" i="5"/>
  <c r="J386" i="5"/>
  <c r="K386" i="5"/>
  <c r="J387" i="5"/>
  <c r="K387" i="5"/>
  <c r="J388" i="5"/>
  <c r="K388" i="5"/>
  <c r="J389" i="5"/>
  <c r="K389" i="5"/>
  <c r="J390" i="5"/>
  <c r="K390" i="5"/>
  <c r="J391" i="5"/>
  <c r="K391" i="5"/>
  <c r="J392" i="5"/>
  <c r="K392" i="5"/>
  <c r="J393" i="5"/>
  <c r="K393" i="5"/>
  <c r="J394" i="5"/>
  <c r="K394" i="5"/>
  <c r="J395" i="5"/>
  <c r="K395" i="5"/>
  <c r="J396" i="5"/>
  <c r="K396" i="5"/>
  <c r="J397" i="5"/>
  <c r="K397" i="5"/>
  <c r="J398" i="5"/>
  <c r="K398" i="5"/>
  <c r="J399" i="5"/>
  <c r="K399" i="5"/>
  <c r="J400" i="5"/>
  <c r="K400" i="5"/>
  <c r="J401" i="5"/>
  <c r="K401" i="5"/>
  <c r="J402" i="5"/>
  <c r="K402" i="5"/>
  <c r="J403" i="5"/>
  <c r="K403" i="5"/>
  <c r="J404" i="5"/>
  <c r="K404" i="5"/>
  <c r="J405" i="5"/>
  <c r="K405" i="5"/>
  <c r="J406" i="5"/>
  <c r="K406" i="5"/>
  <c r="J407" i="5"/>
  <c r="K407" i="5"/>
  <c r="J408" i="5"/>
  <c r="K408" i="5"/>
  <c r="J409" i="5"/>
  <c r="K409" i="5"/>
  <c r="J410" i="5"/>
  <c r="K410" i="5"/>
  <c r="J411" i="5"/>
  <c r="K411" i="5"/>
  <c r="J412" i="5"/>
  <c r="K412" i="5"/>
  <c r="J413" i="5"/>
  <c r="K413" i="5"/>
  <c r="J414" i="5"/>
  <c r="K414" i="5"/>
  <c r="J415" i="5"/>
  <c r="K415" i="5"/>
  <c r="J416" i="5"/>
  <c r="K416" i="5"/>
  <c r="L416" i="5"/>
  <c r="J417" i="5"/>
  <c r="K417" i="5"/>
  <c r="J418" i="5"/>
  <c r="K418" i="5"/>
  <c r="J419" i="5"/>
  <c r="K419" i="5"/>
  <c r="J420" i="5"/>
  <c r="K420" i="5"/>
  <c r="J421" i="5"/>
  <c r="K421" i="5"/>
  <c r="J422" i="5"/>
  <c r="K422" i="5"/>
  <c r="J423" i="5"/>
  <c r="K423" i="5"/>
  <c r="J424" i="5"/>
  <c r="K424" i="5"/>
  <c r="J425" i="5"/>
  <c r="K425" i="5"/>
  <c r="J426" i="5"/>
  <c r="K426" i="5"/>
  <c r="J427" i="5"/>
  <c r="K427" i="5"/>
  <c r="J428" i="5"/>
  <c r="K428" i="5"/>
  <c r="J429" i="5"/>
  <c r="K429" i="5"/>
  <c r="J430" i="5"/>
  <c r="K430" i="5"/>
  <c r="J431" i="5"/>
  <c r="K431" i="5"/>
  <c r="J432" i="5"/>
  <c r="K432" i="5"/>
  <c r="J433" i="5"/>
  <c r="K433" i="5"/>
  <c r="J434" i="5"/>
  <c r="K434" i="5"/>
  <c r="J435" i="5"/>
  <c r="K435" i="5"/>
  <c r="J436" i="5"/>
  <c r="K436" i="5"/>
  <c r="J437" i="5"/>
  <c r="K437" i="5"/>
  <c r="J438" i="5"/>
  <c r="K438" i="5"/>
  <c r="J439" i="5"/>
  <c r="K439" i="5"/>
  <c r="J440" i="5"/>
  <c r="K440" i="5"/>
  <c r="J441" i="5"/>
  <c r="K441" i="5"/>
  <c r="J442" i="5"/>
  <c r="K442" i="5"/>
  <c r="J443" i="5"/>
  <c r="K443" i="5"/>
  <c r="J444" i="5"/>
  <c r="K444" i="5"/>
  <c r="J445" i="5"/>
  <c r="K445" i="5"/>
  <c r="J446" i="5"/>
  <c r="K446" i="5"/>
  <c r="J447" i="5"/>
  <c r="K447" i="5"/>
  <c r="J448" i="5"/>
  <c r="K448" i="5"/>
  <c r="J449" i="5"/>
  <c r="K449" i="5"/>
  <c r="J450" i="5"/>
  <c r="K450" i="5"/>
  <c r="J451" i="5"/>
  <c r="K451" i="5"/>
  <c r="J452" i="5"/>
  <c r="K452" i="5"/>
  <c r="J453" i="5"/>
  <c r="K453" i="5"/>
  <c r="J454" i="5"/>
  <c r="K454" i="5"/>
  <c r="J455" i="5"/>
  <c r="K455" i="5"/>
  <c r="J456" i="5"/>
  <c r="K456" i="5"/>
  <c r="J457" i="5"/>
  <c r="K457" i="5"/>
  <c r="J458" i="5"/>
  <c r="K458" i="5"/>
  <c r="J459" i="5"/>
  <c r="K459" i="5"/>
  <c r="J460" i="5"/>
  <c r="K460" i="5"/>
  <c r="J461" i="5"/>
  <c r="K461" i="5"/>
  <c r="J462" i="5"/>
  <c r="K462" i="5"/>
  <c r="J463" i="5"/>
  <c r="K463" i="5"/>
  <c r="J464" i="5"/>
  <c r="K464" i="5"/>
  <c r="J465" i="5"/>
  <c r="K465" i="5"/>
  <c r="J466" i="5"/>
  <c r="K466" i="5"/>
  <c r="J467" i="5"/>
  <c r="K467" i="5"/>
  <c r="J468" i="5"/>
  <c r="K468" i="5"/>
  <c r="J469" i="5"/>
  <c r="K469" i="5"/>
  <c r="J470" i="5"/>
  <c r="K470" i="5"/>
  <c r="J471" i="5"/>
  <c r="K471" i="5"/>
  <c r="J472" i="5"/>
  <c r="K472" i="5"/>
  <c r="J473" i="5"/>
  <c r="K473" i="5"/>
  <c r="J474" i="5"/>
  <c r="K474" i="5"/>
  <c r="J475" i="5"/>
  <c r="K475" i="5"/>
  <c r="J476" i="5"/>
  <c r="K476" i="5"/>
  <c r="J477" i="5"/>
  <c r="K477" i="5"/>
  <c r="J478" i="5"/>
  <c r="K478" i="5"/>
  <c r="J479" i="5"/>
  <c r="K479" i="5"/>
  <c r="J480" i="5"/>
  <c r="K480" i="5"/>
  <c r="J481" i="5"/>
  <c r="K481" i="5"/>
  <c r="J482" i="5"/>
  <c r="K482" i="5"/>
  <c r="J483" i="5"/>
  <c r="K483" i="5"/>
  <c r="J484" i="5"/>
  <c r="K484" i="5"/>
  <c r="J485" i="5"/>
  <c r="K485" i="5"/>
  <c r="J486" i="5"/>
  <c r="K486" i="5"/>
  <c r="J487" i="5"/>
  <c r="K487" i="5"/>
  <c r="J488" i="5"/>
  <c r="K488" i="5"/>
  <c r="J489" i="5"/>
  <c r="K489" i="5"/>
  <c r="J490" i="5"/>
  <c r="K490" i="5"/>
  <c r="J491" i="5"/>
  <c r="K491" i="5"/>
  <c r="J492" i="5"/>
  <c r="K492" i="5"/>
  <c r="J493" i="5"/>
  <c r="K493" i="5"/>
  <c r="J494" i="5"/>
  <c r="K494" i="5"/>
  <c r="J495" i="5"/>
  <c r="K495" i="5"/>
  <c r="J496" i="5"/>
  <c r="K496" i="5"/>
  <c r="J497" i="5"/>
  <c r="K497" i="5"/>
  <c r="J498" i="5"/>
  <c r="K498" i="5"/>
  <c r="J499" i="5"/>
  <c r="K499" i="5"/>
  <c r="J500" i="5"/>
  <c r="K500" i="5"/>
  <c r="J501" i="5"/>
  <c r="K501" i="5"/>
  <c r="J502" i="5"/>
  <c r="K502" i="5"/>
  <c r="J503" i="5"/>
  <c r="K503" i="5"/>
  <c r="J504" i="5"/>
  <c r="K504" i="5"/>
  <c r="J505" i="5"/>
  <c r="K505" i="5"/>
  <c r="J506" i="5"/>
  <c r="K506" i="5"/>
  <c r="J507" i="5"/>
  <c r="K507" i="5"/>
  <c r="J508" i="5"/>
  <c r="K508" i="5"/>
  <c r="J509" i="5"/>
  <c r="K509" i="5"/>
  <c r="J510" i="5"/>
  <c r="K510" i="5"/>
  <c r="J511" i="5"/>
  <c r="K511" i="5"/>
  <c r="J512" i="5"/>
  <c r="K512" i="5"/>
  <c r="J513" i="5"/>
  <c r="K513" i="5"/>
  <c r="J514" i="5"/>
  <c r="K514" i="5"/>
  <c r="J515" i="5"/>
  <c r="K515" i="5"/>
  <c r="J516" i="5"/>
  <c r="K516" i="5"/>
  <c r="J517" i="5"/>
  <c r="K517" i="5"/>
  <c r="J518" i="5"/>
  <c r="K518" i="5"/>
  <c r="J519" i="5"/>
  <c r="K519" i="5"/>
  <c r="J520" i="5"/>
  <c r="K520" i="5"/>
  <c r="J521" i="5"/>
  <c r="K521" i="5"/>
  <c r="J522" i="5"/>
  <c r="K522" i="5"/>
  <c r="J523" i="5"/>
  <c r="K523" i="5"/>
  <c r="J524" i="5"/>
  <c r="K524" i="5"/>
  <c r="J525" i="5"/>
  <c r="K525" i="5"/>
  <c r="J526" i="5"/>
  <c r="K526" i="5"/>
  <c r="J527" i="5"/>
  <c r="K527" i="5"/>
  <c r="J528" i="5"/>
  <c r="K528" i="5"/>
  <c r="J529" i="5"/>
  <c r="K529" i="5"/>
  <c r="J530" i="5"/>
  <c r="K530" i="5"/>
  <c r="J531" i="5"/>
  <c r="K531" i="5"/>
  <c r="J532" i="5"/>
  <c r="K532" i="5"/>
  <c r="J533" i="5"/>
  <c r="K533" i="5"/>
  <c r="J534" i="5"/>
  <c r="K534" i="5"/>
  <c r="J535" i="5"/>
  <c r="K535" i="5"/>
  <c r="J536" i="5"/>
  <c r="K536" i="5"/>
  <c r="J537" i="5"/>
  <c r="K537" i="5"/>
  <c r="J538" i="5"/>
  <c r="K538" i="5"/>
  <c r="J539" i="5"/>
  <c r="K539" i="5"/>
  <c r="J540" i="5"/>
  <c r="K540" i="5"/>
  <c r="J541" i="5"/>
  <c r="K541" i="5"/>
  <c r="L541" i="5"/>
  <c r="J542" i="5"/>
  <c r="K542" i="5"/>
  <c r="J543" i="5"/>
  <c r="K543" i="5"/>
  <c r="J544" i="5"/>
  <c r="K544" i="5"/>
  <c r="J545" i="5"/>
  <c r="K545" i="5"/>
  <c r="J546" i="5"/>
  <c r="K546" i="5"/>
  <c r="J547" i="5"/>
  <c r="K547" i="5"/>
  <c r="J548" i="5"/>
  <c r="K548" i="5"/>
  <c r="J549" i="5"/>
  <c r="K549" i="5"/>
  <c r="J550" i="5"/>
  <c r="K550" i="5"/>
  <c r="J551" i="5"/>
  <c r="K551" i="5"/>
  <c r="J552" i="5"/>
  <c r="K552" i="5"/>
  <c r="J553" i="5"/>
  <c r="K553" i="5"/>
  <c r="J554" i="5"/>
  <c r="K554" i="5"/>
  <c r="J555" i="5"/>
  <c r="K555" i="5"/>
  <c r="J556" i="5"/>
  <c r="K556" i="5"/>
  <c r="J557" i="5"/>
  <c r="K557" i="5"/>
  <c r="J558" i="5"/>
  <c r="K558" i="5"/>
  <c r="J559" i="5"/>
  <c r="K559" i="5"/>
  <c r="J560" i="5"/>
  <c r="K560" i="5"/>
  <c r="J561" i="5"/>
  <c r="K561" i="5"/>
  <c r="J562" i="5"/>
  <c r="K562" i="5"/>
  <c r="J563" i="5"/>
  <c r="K563" i="5"/>
  <c r="J564" i="5"/>
  <c r="K564" i="5"/>
  <c r="J565" i="5"/>
  <c r="K565" i="5"/>
  <c r="J566" i="5"/>
  <c r="K566" i="5"/>
  <c r="J567" i="5"/>
  <c r="K567" i="5"/>
  <c r="J568" i="5"/>
  <c r="K568" i="5"/>
  <c r="J569" i="5"/>
  <c r="K569" i="5"/>
  <c r="J570" i="5"/>
  <c r="K570" i="5"/>
  <c r="J571" i="5"/>
  <c r="K571" i="5"/>
  <c r="J572" i="5"/>
  <c r="K572" i="5"/>
  <c r="J573" i="5"/>
  <c r="K573" i="5"/>
  <c r="J574" i="5"/>
  <c r="K574" i="5"/>
  <c r="J575" i="5"/>
  <c r="K575" i="5"/>
  <c r="J576" i="5"/>
  <c r="K576" i="5"/>
  <c r="J577" i="5"/>
  <c r="K577" i="5"/>
  <c r="J578" i="5"/>
  <c r="K578" i="5"/>
  <c r="J579" i="5"/>
  <c r="K579" i="5"/>
  <c r="J580" i="5"/>
  <c r="K580" i="5"/>
  <c r="J581" i="5"/>
  <c r="K581" i="5"/>
  <c r="J582" i="5"/>
  <c r="K582" i="5"/>
  <c r="J583" i="5"/>
  <c r="K583" i="5"/>
  <c r="J584" i="5"/>
  <c r="K584" i="5"/>
  <c r="J585" i="5"/>
  <c r="K585" i="5"/>
  <c r="J586" i="5"/>
  <c r="K586" i="5"/>
  <c r="J587" i="5"/>
  <c r="K587" i="5"/>
  <c r="J588" i="5"/>
  <c r="K588" i="5"/>
  <c r="J589" i="5"/>
  <c r="K589" i="5"/>
  <c r="J590" i="5"/>
  <c r="K590" i="5"/>
  <c r="J591" i="5"/>
  <c r="K591" i="5"/>
  <c r="J592" i="5"/>
  <c r="K592" i="5"/>
  <c r="J593" i="5"/>
  <c r="K593" i="5"/>
  <c r="J594" i="5"/>
  <c r="K594" i="5"/>
  <c r="J595" i="5"/>
  <c r="K595" i="5"/>
  <c r="J596" i="5"/>
  <c r="K596" i="5"/>
  <c r="J597" i="5"/>
  <c r="K597" i="5"/>
  <c r="J598" i="5"/>
  <c r="K598" i="5"/>
  <c r="J599" i="5"/>
  <c r="K599" i="5"/>
  <c r="J600" i="5"/>
  <c r="K600" i="5"/>
  <c r="J601" i="5"/>
  <c r="K601" i="5"/>
  <c r="J602" i="5"/>
  <c r="K602" i="5"/>
  <c r="J603" i="5"/>
  <c r="K603" i="5"/>
  <c r="J604" i="5"/>
  <c r="K604" i="5"/>
  <c r="J605" i="5"/>
  <c r="K605" i="5"/>
  <c r="J606" i="5"/>
  <c r="K606" i="5"/>
  <c r="J607" i="5"/>
  <c r="K607" i="5"/>
  <c r="J608" i="5"/>
  <c r="K608" i="5"/>
  <c r="L608" i="5"/>
  <c r="J609" i="5"/>
  <c r="K609" i="5"/>
  <c r="J610" i="5"/>
  <c r="K610" i="5"/>
  <c r="J611" i="5"/>
  <c r="K611" i="5"/>
  <c r="J612" i="5"/>
  <c r="K612" i="5"/>
  <c r="J613" i="5"/>
  <c r="K613" i="5"/>
  <c r="J614" i="5"/>
  <c r="K614" i="5"/>
  <c r="J615" i="5"/>
  <c r="K615" i="5"/>
  <c r="J616" i="5"/>
  <c r="K616" i="5"/>
  <c r="J617" i="5"/>
  <c r="K617" i="5"/>
  <c r="J618" i="5"/>
  <c r="K618" i="5"/>
  <c r="J619" i="5"/>
  <c r="K619" i="5"/>
  <c r="J620" i="5"/>
  <c r="K620" i="5"/>
  <c r="J621" i="5"/>
  <c r="K621" i="5"/>
  <c r="J622" i="5"/>
  <c r="K622" i="5"/>
  <c r="J623" i="5"/>
  <c r="K623" i="5"/>
  <c r="J624" i="5"/>
  <c r="K624" i="5"/>
  <c r="J625" i="5"/>
  <c r="K625" i="5"/>
  <c r="J626" i="5"/>
  <c r="K626" i="5"/>
  <c r="J627" i="5"/>
  <c r="K627" i="5"/>
  <c r="J628" i="5"/>
  <c r="K628" i="5"/>
  <c r="J629" i="5"/>
  <c r="K629" i="5"/>
  <c r="J630" i="5"/>
  <c r="K630" i="5"/>
  <c r="J631" i="5"/>
  <c r="K631" i="5"/>
  <c r="J632" i="5"/>
  <c r="K632" i="5"/>
  <c r="J633" i="5"/>
  <c r="K633" i="5"/>
  <c r="J634" i="5"/>
  <c r="K634" i="5"/>
  <c r="J635" i="5"/>
  <c r="K635" i="5"/>
  <c r="J636" i="5"/>
  <c r="K636" i="5"/>
  <c r="J637" i="5"/>
  <c r="K637" i="5"/>
  <c r="J638" i="5"/>
  <c r="K638" i="5"/>
  <c r="J639" i="5"/>
  <c r="K639" i="5"/>
  <c r="J640" i="5"/>
  <c r="K640" i="5"/>
  <c r="J641" i="5"/>
  <c r="K641" i="5"/>
  <c r="J642" i="5"/>
  <c r="K642" i="5"/>
  <c r="J643" i="5"/>
  <c r="K643" i="5"/>
  <c r="J644" i="5"/>
  <c r="K644" i="5"/>
  <c r="J645" i="5"/>
  <c r="K645" i="5"/>
  <c r="J646" i="5"/>
  <c r="K646" i="5"/>
  <c r="J647" i="5"/>
  <c r="K647" i="5"/>
  <c r="J648" i="5"/>
  <c r="K648" i="5"/>
  <c r="J649" i="5"/>
  <c r="K649" i="5"/>
  <c r="J650" i="5"/>
  <c r="K650" i="5"/>
  <c r="J651" i="5"/>
  <c r="K651" i="5"/>
  <c r="J652" i="5"/>
  <c r="K652" i="5"/>
  <c r="J653" i="5"/>
  <c r="K653" i="5"/>
  <c r="J654" i="5"/>
  <c r="K654" i="5"/>
  <c r="J655" i="5"/>
  <c r="K655" i="5"/>
  <c r="J656" i="5"/>
  <c r="K656" i="5"/>
  <c r="J657" i="5"/>
  <c r="K657" i="5"/>
  <c r="J658" i="5"/>
  <c r="K658" i="5"/>
  <c r="J659" i="5"/>
  <c r="K659" i="5"/>
  <c r="J660" i="5"/>
  <c r="K660" i="5"/>
  <c r="J661" i="5"/>
  <c r="K661" i="5"/>
  <c r="J662" i="5"/>
  <c r="K662" i="5"/>
  <c r="J663" i="5"/>
  <c r="K663" i="5"/>
  <c r="J664" i="5"/>
  <c r="K664" i="5"/>
  <c r="J665" i="5"/>
  <c r="K665" i="5"/>
  <c r="J666" i="5"/>
  <c r="K666" i="5"/>
  <c r="J667" i="5"/>
  <c r="K667" i="5"/>
  <c r="J668" i="5"/>
  <c r="K668" i="5"/>
  <c r="J669" i="5"/>
  <c r="K669" i="5"/>
  <c r="J670" i="5"/>
  <c r="K670" i="5"/>
  <c r="J671" i="5"/>
  <c r="K671" i="5"/>
  <c r="J672" i="5"/>
  <c r="K672" i="5"/>
  <c r="J673" i="5"/>
  <c r="K673" i="5"/>
  <c r="J674" i="5"/>
  <c r="K674" i="5"/>
  <c r="J675" i="5"/>
  <c r="K675" i="5"/>
  <c r="J676" i="5"/>
  <c r="K676" i="5"/>
  <c r="J677" i="5"/>
  <c r="K677" i="5"/>
  <c r="J678" i="5"/>
  <c r="K678" i="5"/>
  <c r="J679" i="5"/>
  <c r="K679" i="5"/>
  <c r="J680" i="5"/>
  <c r="K680" i="5"/>
  <c r="J681" i="5"/>
  <c r="K681" i="5"/>
  <c r="J682" i="5"/>
  <c r="K682" i="5"/>
  <c r="J683" i="5"/>
  <c r="K683" i="5"/>
  <c r="J684" i="5"/>
  <c r="K684" i="5"/>
  <c r="J685" i="5"/>
  <c r="K685" i="5"/>
  <c r="J686" i="5"/>
  <c r="K686" i="5"/>
  <c r="J687" i="5"/>
  <c r="K687" i="5"/>
  <c r="J688" i="5"/>
  <c r="K688" i="5"/>
  <c r="J689" i="5"/>
  <c r="K689" i="5"/>
  <c r="J690" i="5"/>
  <c r="K690" i="5"/>
  <c r="J691" i="5"/>
  <c r="K691" i="5"/>
  <c r="J692" i="5"/>
  <c r="K692" i="5"/>
  <c r="J693" i="5"/>
  <c r="K693" i="5"/>
  <c r="J694" i="5"/>
  <c r="K694" i="5"/>
  <c r="J695" i="5"/>
  <c r="K695" i="5"/>
  <c r="J696" i="5"/>
  <c r="K696" i="5"/>
  <c r="J697" i="5"/>
  <c r="K697" i="5"/>
  <c r="J698" i="5"/>
  <c r="K698" i="5"/>
  <c r="J699" i="5"/>
  <c r="K699" i="5"/>
  <c r="J700" i="5"/>
  <c r="K700" i="5"/>
  <c r="J701" i="5"/>
  <c r="K701" i="5"/>
  <c r="J702" i="5"/>
  <c r="K702" i="5"/>
  <c r="J703" i="5"/>
  <c r="K703" i="5"/>
  <c r="J704" i="5"/>
  <c r="K704" i="5"/>
  <c r="J705" i="5"/>
  <c r="K705" i="5"/>
  <c r="J706" i="5"/>
  <c r="K706" i="5"/>
  <c r="J707" i="5"/>
  <c r="K707" i="5"/>
  <c r="J708" i="5"/>
  <c r="K708" i="5"/>
  <c r="J709" i="5"/>
  <c r="K709" i="5"/>
  <c r="J710" i="5"/>
  <c r="K710" i="5"/>
  <c r="J711" i="5"/>
  <c r="K711" i="5"/>
  <c r="J712" i="5"/>
  <c r="K712" i="5"/>
  <c r="J713" i="5"/>
  <c r="K713" i="5"/>
  <c r="J714" i="5"/>
  <c r="K714" i="5"/>
  <c r="J715" i="5"/>
  <c r="K715" i="5"/>
  <c r="J716" i="5"/>
  <c r="K716" i="5"/>
  <c r="J717" i="5"/>
  <c r="K717" i="5"/>
  <c r="J718" i="5"/>
  <c r="K718" i="5"/>
  <c r="J719" i="5"/>
  <c r="K719" i="5"/>
  <c r="J720" i="5"/>
  <c r="K720" i="5"/>
  <c r="J721" i="5"/>
  <c r="K721" i="5"/>
  <c r="J722" i="5"/>
  <c r="K722" i="5"/>
  <c r="J723" i="5"/>
  <c r="K723" i="5"/>
  <c r="J724" i="5"/>
  <c r="K724" i="5"/>
  <c r="J725" i="5"/>
  <c r="K725" i="5"/>
  <c r="J726" i="5"/>
  <c r="K726" i="5"/>
  <c r="J727" i="5"/>
  <c r="K727" i="5"/>
  <c r="J728" i="5"/>
  <c r="K728" i="5"/>
  <c r="J729" i="5"/>
  <c r="K729" i="5"/>
  <c r="J730" i="5"/>
  <c r="K730" i="5"/>
  <c r="J731" i="5"/>
  <c r="K731" i="5"/>
  <c r="J732" i="5"/>
  <c r="K732" i="5"/>
  <c r="J733" i="5"/>
  <c r="K733" i="5"/>
  <c r="J734" i="5"/>
  <c r="K734" i="5"/>
  <c r="J735" i="5"/>
  <c r="K735" i="5"/>
  <c r="J736" i="5"/>
  <c r="K736" i="5"/>
  <c r="J737" i="5"/>
  <c r="K737" i="5"/>
  <c r="J738" i="5"/>
  <c r="K738" i="5"/>
  <c r="J739" i="5"/>
  <c r="K739" i="5"/>
  <c r="J740" i="5"/>
  <c r="K740" i="5"/>
  <c r="J741" i="5"/>
  <c r="K741" i="5"/>
  <c r="J742" i="5"/>
  <c r="K742" i="5"/>
  <c r="J743" i="5"/>
  <c r="K743" i="5"/>
  <c r="J744" i="5"/>
  <c r="K744" i="5"/>
  <c r="J745" i="5"/>
  <c r="K745" i="5"/>
  <c r="J746" i="5"/>
  <c r="K746" i="5"/>
  <c r="J747" i="5"/>
  <c r="K747" i="5"/>
  <c r="J748" i="5"/>
  <c r="K748" i="5"/>
  <c r="J749" i="5"/>
  <c r="K749" i="5"/>
  <c r="J750" i="5"/>
  <c r="K750" i="5"/>
  <c r="J751" i="5"/>
  <c r="K751" i="5"/>
  <c r="J752" i="5"/>
  <c r="K752" i="5"/>
  <c r="J753" i="5"/>
  <c r="K753" i="5"/>
  <c r="J754" i="5"/>
  <c r="K754" i="5"/>
  <c r="J755" i="5"/>
  <c r="K755" i="5"/>
  <c r="J756" i="5"/>
  <c r="K756" i="5"/>
  <c r="J757" i="5"/>
  <c r="K757" i="5"/>
  <c r="J758" i="5"/>
  <c r="K758" i="5"/>
  <c r="J759" i="5"/>
  <c r="K759" i="5"/>
  <c r="J760" i="5"/>
  <c r="K760" i="5"/>
  <c r="J761" i="5"/>
  <c r="K761" i="5"/>
  <c r="K2" i="5"/>
  <c r="J2" i="5"/>
  <c r="H24" i="5"/>
  <c r="H45" i="5"/>
  <c r="H72" i="5"/>
  <c r="H120" i="5"/>
  <c r="H121" i="5"/>
  <c r="H122" i="5"/>
  <c r="H123" i="5"/>
  <c r="H139" i="5"/>
  <c r="H165" i="5"/>
  <c r="H288" i="5"/>
  <c r="H289" i="5"/>
  <c r="H381" i="5"/>
  <c r="H407" i="5"/>
  <c r="H408" i="5"/>
  <c r="H431" i="5"/>
  <c r="H432" i="5"/>
  <c r="H433" i="5"/>
  <c r="H434" i="5"/>
  <c r="H454" i="5"/>
  <c r="H455" i="5"/>
  <c r="H456" i="5"/>
  <c r="H527" i="5"/>
  <c r="H528" i="5"/>
  <c r="H529" i="5"/>
  <c r="H598" i="5"/>
  <c r="H599" i="5"/>
  <c r="H622" i="5"/>
  <c r="H623" i="5"/>
  <c r="H624" i="5"/>
  <c r="H625" i="5"/>
  <c r="H647" i="5"/>
  <c r="H648" i="5"/>
  <c r="H649" i="5"/>
  <c r="H672" i="5"/>
  <c r="H715" i="5"/>
  <c r="H720" i="5"/>
  <c r="H741" i="5"/>
  <c r="E390" i="5"/>
  <c r="N390" i="5"/>
  <c r="E4" i="5"/>
  <c r="N4" i="5"/>
  <c r="E5" i="5"/>
  <c r="N5" i="5"/>
  <c r="E6" i="5"/>
  <c r="N6" i="5"/>
  <c r="P6" i="5"/>
  <c r="E7" i="5"/>
  <c r="H7" i="5"/>
  <c r="E8" i="5"/>
  <c r="N8" i="5"/>
  <c r="E9" i="5"/>
  <c r="L9" i="5"/>
  <c r="E10" i="5"/>
  <c r="N10" i="5"/>
  <c r="E11" i="5"/>
  <c r="N11" i="5"/>
  <c r="P11" i="5"/>
  <c r="E12" i="5"/>
  <c r="N12" i="5"/>
  <c r="P12" i="5"/>
  <c r="E13" i="5"/>
  <c r="N13" i="5"/>
  <c r="E14" i="5"/>
  <c r="L14" i="5"/>
  <c r="E15" i="5"/>
  <c r="N15" i="5"/>
  <c r="P15" i="5"/>
  <c r="E16" i="5"/>
  <c r="N16" i="5"/>
  <c r="E17" i="5"/>
  <c r="N17" i="5"/>
  <c r="P17" i="5"/>
  <c r="E18" i="5"/>
  <c r="N18" i="5"/>
  <c r="E19" i="5"/>
  <c r="L19" i="5"/>
  <c r="E20" i="5"/>
  <c r="H20" i="5"/>
  <c r="E21" i="5"/>
  <c r="H21" i="5"/>
  <c r="E22" i="5"/>
  <c r="H22" i="5"/>
  <c r="E23" i="5"/>
  <c r="H23" i="5"/>
  <c r="E24" i="5"/>
  <c r="N24" i="5"/>
  <c r="E25" i="5"/>
  <c r="N25" i="5"/>
  <c r="P25" i="5"/>
  <c r="E26" i="5"/>
  <c r="N26" i="5"/>
  <c r="E27" i="5"/>
  <c r="N27" i="5"/>
  <c r="P27" i="5"/>
  <c r="E28" i="5"/>
  <c r="N28" i="5"/>
  <c r="E29" i="5"/>
  <c r="N29" i="5"/>
  <c r="E30" i="5"/>
  <c r="N30" i="5"/>
  <c r="E31" i="5"/>
  <c r="L31" i="5"/>
  <c r="E32" i="5"/>
  <c r="L32" i="5"/>
  <c r="E33" i="5"/>
  <c r="H33" i="5"/>
  <c r="E34" i="5"/>
  <c r="H34" i="5"/>
  <c r="E35" i="5"/>
  <c r="L35" i="5"/>
  <c r="E36" i="5"/>
  <c r="L36" i="5"/>
  <c r="E37" i="5"/>
  <c r="L37" i="5"/>
  <c r="E38" i="5"/>
  <c r="L38" i="5"/>
  <c r="E39" i="5"/>
  <c r="L39" i="5"/>
  <c r="E40" i="5"/>
  <c r="N40" i="5"/>
  <c r="E41" i="5"/>
  <c r="N41" i="5"/>
  <c r="E42" i="5"/>
  <c r="N42" i="5"/>
  <c r="E43" i="5"/>
  <c r="N43" i="5"/>
  <c r="E44" i="5"/>
  <c r="N44" i="5"/>
  <c r="P44" i="5"/>
  <c r="E45" i="5"/>
  <c r="N45" i="5"/>
  <c r="P45" i="5"/>
  <c r="E46" i="5"/>
  <c r="H46" i="5"/>
  <c r="E47" i="5"/>
  <c r="N47" i="5"/>
  <c r="P47" i="5"/>
  <c r="E48" i="5"/>
  <c r="N48" i="5"/>
  <c r="E49" i="5"/>
  <c r="N49" i="5"/>
  <c r="P49" i="5"/>
  <c r="E50" i="5"/>
  <c r="H50" i="5"/>
  <c r="E51" i="5"/>
  <c r="H51" i="5"/>
  <c r="E52" i="5"/>
  <c r="N52" i="5"/>
  <c r="E53" i="5"/>
  <c r="N53" i="5"/>
  <c r="P53" i="5"/>
  <c r="E54" i="5"/>
  <c r="N54" i="5"/>
  <c r="P54" i="5"/>
  <c r="E55" i="5"/>
  <c r="H55" i="5"/>
  <c r="E56" i="5"/>
  <c r="N56" i="5"/>
  <c r="P56" i="5"/>
  <c r="E57" i="5"/>
  <c r="N57" i="5"/>
  <c r="P57" i="5"/>
  <c r="E58" i="5"/>
  <c r="N58" i="5"/>
  <c r="E59" i="5"/>
  <c r="H59" i="5"/>
  <c r="E60" i="5"/>
  <c r="N60" i="5"/>
  <c r="P60" i="5"/>
  <c r="E61" i="5"/>
  <c r="N61" i="5"/>
  <c r="E62" i="5"/>
  <c r="N62" i="5"/>
  <c r="E63" i="5"/>
  <c r="N63" i="5"/>
  <c r="P63" i="5"/>
  <c r="E64" i="5"/>
  <c r="N64" i="5"/>
  <c r="P64" i="5"/>
  <c r="E65" i="5"/>
  <c r="N65" i="5"/>
  <c r="E66" i="5"/>
  <c r="N66" i="5"/>
  <c r="E67" i="5"/>
  <c r="H67" i="5"/>
  <c r="E68" i="5"/>
  <c r="H68" i="5"/>
  <c r="E69" i="5"/>
  <c r="H69" i="5"/>
  <c r="E70" i="5"/>
  <c r="H70" i="5"/>
  <c r="E71" i="5"/>
  <c r="N71" i="5"/>
  <c r="E72" i="5"/>
  <c r="E73" i="5"/>
  <c r="H73" i="5"/>
  <c r="E74" i="5"/>
  <c r="N74" i="5"/>
  <c r="E75" i="5"/>
  <c r="N75" i="5"/>
  <c r="E76" i="5"/>
  <c r="N76" i="5"/>
  <c r="P76" i="5"/>
  <c r="E77" i="5"/>
  <c r="L77" i="5"/>
  <c r="E78" i="5"/>
  <c r="N78" i="5"/>
  <c r="E79" i="5"/>
  <c r="N79" i="5"/>
  <c r="E80" i="5"/>
  <c r="N80" i="5"/>
  <c r="E81" i="5"/>
  <c r="N81" i="5"/>
  <c r="E82" i="5"/>
  <c r="E83" i="5"/>
  <c r="E84" i="5"/>
  <c r="N84" i="5"/>
  <c r="P84" i="5"/>
  <c r="E85" i="5"/>
  <c r="L85" i="5"/>
  <c r="E86" i="5"/>
  <c r="L86" i="5"/>
  <c r="E87" i="5"/>
  <c r="H87" i="5"/>
  <c r="E88" i="5"/>
  <c r="N88" i="5"/>
  <c r="P88" i="5"/>
  <c r="E89" i="5"/>
  <c r="N89" i="5"/>
  <c r="P89" i="5"/>
  <c r="E90" i="5"/>
  <c r="N90" i="5"/>
  <c r="E91" i="5"/>
  <c r="H91" i="5"/>
  <c r="E92" i="5"/>
  <c r="H92" i="5"/>
  <c r="E93" i="5"/>
  <c r="H93" i="5"/>
  <c r="E94" i="5"/>
  <c r="H94" i="5"/>
  <c r="E95" i="5"/>
  <c r="N95" i="5"/>
  <c r="E96" i="5"/>
  <c r="N96" i="5"/>
  <c r="P96" i="5"/>
  <c r="E97" i="5"/>
  <c r="L97" i="5"/>
  <c r="E98" i="5"/>
  <c r="N98" i="5"/>
  <c r="E99" i="5"/>
  <c r="N99" i="5"/>
  <c r="P99" i="5"/>
  <c r="E100" i="5"/>
  <c r="N100" i="5"/>
  <c r="P100" i="5"/>
  <c r="E101" i="5"/>
  <c r="L101" i="5"/>
  <c r="E102" i="5"/>
  <c r="N102" i="5"/>
  <c r="E103" i="5"/>
  <c r="H103" i="5"/>
  <c r="E104" i="5"/>
  <c r="H104" i="5"/>
  <c r="E105" i="5"/>
  <c r="L105" i="5"/>
  <c r="E106" i="5"/>
  <c r="H106" i="5"/>
  <c r="E107" i="5"/>
  <c r="H107" i="5"/>
  <c r="E108" i="5"/>
  <c r="L108" i="5"/>
  <c r="E109" i="5"/>
  <c r="L109" i="5"/>
  <c r="E110" i="5"/>
  <c r="N110" i="5"/>
  <c r="E111" i="5"/>
  <c r="N111" i="5"/>
  <c r="P111" i="5"/>
  <c r="E112" i="5"/>
  <c r="N112" i="5"/>
  <c r="P112" i="5"/>
  <c r="E113" i="5"/>
  <c r="N113" i="5"/>
  <c r="E114" i="5"/>
  <c r="N114" i="5"/>
  <c r="E115" i="5"/>
  <c r="N115" i="5"/>
  <c r="E116" i="5"/>
  <c r="N116" i="5"/>
  <c r="E117" i="5"/>
  <c r="N117" i="5"/>
  <c r="P117" i="5"/>
  <c r="E118" i="5"/>
  <c r="H118" i="5"/>
  <c r="E119" i="5"/>
  <c r="N119" i="5"/>
  <c r="P119" i="5"/>
  <c r="E120" i="5"/>
  <c r="N120" i="5"/>
  <c r="E121" i="5"/>
  <c r="N121" i="5"/>
  <c r="E122" i="5"/>
  <c r="N122" i="5"/>
  <c r="E123" i="5"/>
  <c r="N123" i="5"/>
  <c r="P123" i="5"/>
  <c r="E124" i="5"/>
  <c r="N124" i="5"/>
  <c r="E125" i="5"/>
  <c r="N125" i="5"/>
  <c r="E126" i="5"/>
  <c r="N126" i="5"/>
  <c r="E127" i="5"/>
  <c r="N127" i="5"/>
  <c r="E128" i="5"/>
  <c r="N128" i="5"/>
  <c r="E129" i="5"/>
  <c r="N129" i="5"/>
  <c r="E130" i="5"/>
  <c r="N130" i="5"/>
  <c r="E131" i="5"/>
  <c r="N131" i="5"/>
  <c r="P131" i="5"/>
  <c r="E132" i="5"/>
  <c r="N132" i="5"/>
  <c r="P132" i="5"/>
  <c r="E133" i="5"/>
  <c r="N133" i="5"/>
  <c r="E134" i="5"/>
  <c r="N134" i="5"/>
  <c r="E135" i="5"/>
  <c r="N135" i="5"/>
  <c r="P135" i="5"/>
  <c r="E136" i="5"/>
  <c r="N136" i="5"/>
  <c r="E137" i="5"/>
  <c r="N137" i="5"/>
  <c r="P137" i="5"/>
  <c r="E138" i="5"/>
  <c r="N138" i="5"/>
  <c r="E139" i="5"/>
  <c r="N139" i="5"/>
  <c r="E140" i="5"/>
  <c r="N140" i="5"/>
  <c r="E141" i="5"/>
  <c r="H141" i="5"/>
  <c r="E142" i="5"/>
  <c r="N142" i="5"/>
  <c r="E143" i="5"/>
  <c r="N143" i="5"/>
  <c r="E144" i="5"/>
  <c r="H144" i="5"/>
  <c r="E145" i="5"/>
  <c r="L145" i="5"/>
  <c r="E146" i="5"/>
  <c r="N146" i="5"/>
  <c r="E147" i="5"/>
  <c r="N147" i="5"/>
  <c r="E148" i="5"/>
  <c r="N148" i="5"/>
  <c r="E149" i="5"/>
  <c r="N149" i="5"/>
  <c r="E150" i="5"/>
  <c r="N150" i="5"/>
  <c r="E151" i="5"/>
  <c r="N151" i="5"/>
  <c r="P151" i="5"/>
  <c r="E152" i="5"/>
  <c r="L152" i="5"/>
  <c r="E153" i="5"/>
  <c r="L153" i="5"/>
  <c r="E154" i="5"/>
  <c r="N154" i="5"/>
  <c r="E155" i="5"/>
  <c r="L155" i="5"/>
  <c r="E156" i="5"/>
  <c r="L156" i="5"/>
  <c r="E157" i="5"/>
  <c r="L157" i="5"/>
  <c r="E158" i="5"/>
  <c r="L158" i="5"/>
  <c r="E159" i="5"/>
  <c r="N159" i="5"/>
  <c r="P159" i="5"/>
  <c r="E160" i="5"/>
  <c r="N160" i="5"/>
  <c r="P160" i="5"/>
  <c r="E161" i="5"/>
  <c r="N161" i="5"/>
  <c r="E162" i="5"/>
  <c r="N162" i="5"/>
  <c r="E163" i="5"/>
  <c r="H163" i="5"/>
  <c r="E164" i="5"/>
  <c r="H164" i="5"/>
  <c r="E165" i="5"/>
  <c r="E166" i="5"/>
  <c r="N166" i="5"/>
  <c r="E167" i="5"/>
  <c r="H167" i="5"/>
  <c r="E168" i="5"/>
  <c r="N168" i="5"/>
  <c r="E169" i="5"/>
  <c r="N169" i="5"/>
  <c r="P169" i="5"/>
  <c r="E170" i="5"/>
  <c r="N170" i="5"/>
  <c r="E171" i="5"/>
  <c r="H171" i="5"/>
  <c r="E172" i="5"/>
  <c r="N172" i="5"/>
  <c r="P172" i="5"/>
  <c r="E173" i="5"/>
  <c r="N173" i="5"/>
  <c r="P173" i="5"/>
  <c r="E174" i="5"/>
  <c r="L174" i="5"/>
  <c r="E175" i="5"/>
  <c r="E176" i="5"/>
  <c r="N176" i="5"/>
  <c r="E177" i="5"/>
  <c r="N177" i="5"/>
  <c r="E178" i="5"/>
  <c r="N178" i="5"/>
  <c r="E179" i="5"/>
  <c r="N179" i="5"/>
  <c r="P179" i="5"/>
  <c r="E180" i="5"/>
  <c r="H180" i="5"/>
  <c r="E181" i="5"/>
  <c r="N181" i="5"/>
  <c r="E182" i="5"/>
  <c r="N182" i="5"/>
  <c r="P182" i="5"/>
  <c r="E183" i="5"/>
  <c r="N183" i="5"/>
  <c r="P183" i="5"/>
  <c r="E184" i="5"/>
  <c r="N184" i="5"/>
  <c r="P184" i="5"/>
  <c r="E185" i="5"/>
  <c r="N185" i="5"/>
  <c r="E186" i="5"/>
  <c r="N186" i="5"/>
  <c r="E187" i="5"/>
  <c r="N187" i="5"/>
  <c r="E188" i="5"/>
  <c r="N188" i="5"/>
  <c r="E189" i="5"/>
  <c r="N189" i="5"/>
  <c r="E190" i="5"/>
  <c r="N190" i="5"/>
  <c r="E191" i="5"/>
  <c r="H191" i="5"/>
  <c r="E192" i="5"/>
  <c r="N192" i="5"/>
  <c r="E193" i="5"/>
  <c r="N193" i="5"/>
  <c r="P193" i="5"/>
  <c r="E194" i="5"/>
  <c r="H194" i="5"/>
  <c r="E195" i="5"/>
  <c r="H195" i="5"/>
  <c r="E196" i="5"/>
  <c r="N196" i="5"/>
  <c r="P196" i="5"/>
  <c r="E197" i="5"/>
  <c r="H197" i="5"/>
  <c r="E198" i="5"/>
  <c r="N198" i="5"/>
  <c r="E199" i="5"/>
  <c r="L199" i="5"/>
  <c r="E200" i="5"/>
  <c r="H200" i="5"/>
  <c r="E201" i="5"/>
  <c r="L201" i="5"/>
  <c r="E202" i="5"/>
  <c r="L202" i="5"/>
  <c r="E203" i="5"/>
  <c r="H203" i="5"/>
  <c r="E204" i="5"/>
  <c r="H204" i="5"/>
  <c r="E205" i="5"/>
  <c r="H205" i="5"/>
  <c r="E206" i="5"/>
  <c r="H206" i="5"/>
  <c r="E207" i="5"/>
  <c r="H207" i="5"/>
  <c r="E208" i="5"/>
  <c r="N208" i="5"/>
  <c r="E209" i="5"/>
  <c r="N209" i="5"/>
  <c r="E210" i="5"/>
  <c r="N210" i="5"/>
  <c r="E211" i="5"/>
  <c r="N211" i="5"/>
  <c r="E212" i="5"/>
  <c r="H212" i="5"/>
  <c r="E213" i="5"/>
  <c r="N213" i="5"/>
  <c r="P213" i="5"/>
  <c r="E214" i="5"/>
  <c r="N214" i="5"/>
  <c r="E215" i="5"/>
  <c r="H215" i="5"/>
  <c r="E216" i="5"/>
  <c r="L216" i="5"/>
  <c r="E217" i="5"/>
  <c r="N217" i="5"/>
  <c r="P217" i="5"/>
  <c r="E218" i="5"/>
  <c r="H218" i="5"/>
  <c r="E219" i="5"/>
  <c r="H219" i="5"/>
  <c r="E220" i="5"/>
  <c r="N220" i="5"/>
  <c r="P220" i="5"/>
  <c r="E221" i="5"/>
  <c r="N221" i="5"/>
  <c r="P221" i="5"/>
  <c r="E222" i="5"/>
  <c r="N222" i="5"/>
  <c r="P222" i="5"/>
  <c r="E223" i="5"/>
  <c r="N223" i="5"/>
  <c r="E224" i="5"/>
  <c r="N224" i="5"/>
  <c r="P224" i="5"/>
  <c r="E225" i="5"/>
  <c r="N225" i="5"/>
  <c r="E226" i="5"/>
  <c r="N226" i="5"/>
  <c r="E227" i="5"/>
  <c r="N227" i="5"/>
  <c r="E228" i="5"/>
  <c r="N228" i="5"/>
  <c r="P228" i="5"/>
  <c r="E229" i="5"/>
  <c r="N229" i="5"/>
  <c r="E230" i="5"/>
  <c r="N230" i="5"/>
  <c r="P230" i="5"/>
  <c r="E231" i="5"/>
  <c r="H231" i="5"/>
  <c r="E232" i="5"/>
  <c r="N232" i="5"/>
  <c r="E233" i="5"/>
  <c r="N233" i="5"/>
  <c r="E234" i="5"/>
  <c r="N234" i="5"/>
  <c r="P234" i="5"/>
  <c r="E235" i="5"/>
  <c r="H235" i="5"/>
  <c r="E236" i="5"/>
  <c r="H236" i="5"/>
  <c r="E237" i="5"/>
  <c r="H237" i="5"/>
  <c r="E238" i="5"/>
  <c r="N238" i="5"/>
  <c r="E239" i="5"/>
  <c r="H239" i="5"/>
  <c r="E240" i="5"/>
  <c r="N240" i="5"/>
  <c r="E241" i="5"/>
  <c r="H241" i="5"/>
  <c r="E242" i="5"/>
  <c r="N242" i="5"/>
  <c r="E243" i="5"/>
  <c r="H243" i="5"/>
  <c r="E244" i="5"/>
  <c r="N244" i="5"/>
  <c r="P244" i="5"/>
  <c r="E245" i="5"/>
  <c r="H245" i="5"/>
  <c r="E246" i="5"/>
  <c r="N246" i="5"/>
  <c r="E247" i="5"/>
  <c r="L247" i="5"/>
  <c r="E248" i="5"/>
  <c r="H248" i="5"/>
  <c r="E249" i="5"/>
  <c r="H249" i="5"/>
  <c r="E250" i="5"/>
  <c r="H250" i="5"/>
  <c r="E251" i="5"/>
  <c r="L251" i="5"/>
  <c r="E252" i="5"/>
  <c r="N252" i="5"/>
  <c r="E253" i="5"/>
  <c r="N253" i="5"/>
  <c r="E254" i="5"/>
  <c r="N254" i="5"/>
  <c r="E255" i="5"/>
  <c r="N255" i="5"/>
  <c r="P255" i="5"/>
  <c r="E256" i="5"/>
  <c r="N256" i="5"/>
  <c r="P256" i="5"/>
  <c r="E257" i="5"/>
  <c r="N257" i="5"/>
  <c r="E258" i="5"/>
  <c r="N258" i="5"/>
  <c r="E259" i="5"/>
  <c r="N259" i="5"/>
  <c r="E260" i="5"/>
  <c r="L260" i="5"/>
  <c r="E261" i="5"/>
  <c r="N261" i="5"/>
  <c r="E262" i="5"/>
  <c r="N262" i="5"/>
  <c r="E263" i="5"/>
  <c r="H263" i="5"/>
  <c r="E264" i="5"/>
  <c r="N264" i="5"/>
  <c r="P264" i="5"/>
  <c r="E265" i="5"/>
  <c r="N265" i="5"/>
  <c r="P265" i="5"/>
  <c r="E266" i="5"/>
  <c r="L266" i="5"/>
  <c r="E267" i="5"/>
  <c r="H267" i="5"/>
  <c r="E268" i="5"/>
  <c r="N268" i="5"/>
  <c r="P268" i="5"/>
  <c r="E269" i="5"/>
  <c r="N269" i="5"/>
  <c r="E270" i="5"/>
  <c r="N270" i="5"/>
  <c r="E271" i="5"/>
  <c r="N271" i="5"/>
  <c r="E272" i="5"/>
  <c r="N272" i="5"/>
  <c r="E273" i="5"/>
  <c r="N273" i="5"/>
  <c r="E274" i="5"/>
  <c r="N274" i="5"/>
  <c r="E275" i="5"/>
  <c r="H275" i="5"/>
  <c r="E276" i="5"/>
  <c r="L276" i="5"/>
  <c r="E277" i="5"/>
  <c r="L277" i="5"/>
  <c r="E278" i="5"/>
  <c r="L278" i="5"/>
  <c r="E279" i="5"/>
  <c r="L279" i="5"/>
  <c r="E280" i="5"/>
  <c r="N280" i="5"/>
  <c r="E281" i="5"/>
  <c r="N281" i="5"/>
  <c r="E282" i="5"/>
  <c r="H282" i="5"/>
  <c r="E283" i="5"/>
  <c r="L283" i="5"/>
  <c r="E284" i="5"/>
  <c r="L284" i="5"/>
  <c r="E285" i="5"/>
  <c r="L285" i="5"/>
  <c r="E286" i="5"/>
  <c r="N286" i="5"/>
  <c r="E287" i="5"/>
  <c r="H287" i="5"/>
  <c r="E288" i="5"/>
  <c r="N288" i="5"/>
  <c r="E289" i="5"/>
  <c r="N289" i="5"/>
  <c r="E290" i="5"/>
  <c r="N290" i="5"/>
  <c r="P290" i="5"/>
  <c r="E291" i="5"/>
  <c r="N291" i="5"/>
  <c r="E292" i="5"/>
  <c r="N292" i="5"/>
  <c r="E293" i="5"/>
  <c r="N293" i="5"/>
  <c r="P293" i="5"/>
  <c r="E294" i="5"/>
  <c r="N294" i="5"/>
  <c r="E295" i="5"/>
  <c r="N295" i="5"/>
  <c r="E296" i="5"/>
  <c r="N296" i="5"/>
  <c r="E297" i="5"/>
  <c r="N297" i="5"/>
  <c r="E298" i="5"/>
  <c r="N298" i="5"/>
  <c r="E299" i="5"/>
  <c r="N299" i="5"/>
  <c r="P299" i="5"/>
  <c r="E300" i="5"/>
  <c r="N300" i="5"/>
  <c r="E301" i="5"/>
  <c r="L301" i="5"/>
  <c r="E302" i="5"/>
  <c r="N302" i="5"/>
  <c r="E303" i="5"/>
  <c r="N303" i="5"/>
  <c r="P303" i="5"/>
  <c r="E304" i="5"/>
  <c r="N304" i="5"/>
  <c r="E305" i="5"/>
  <c r="N305" i="5"/>
  <c r="P305" i="5"/>
  <c r="E306" i="5"/>
  <c r="N306" i="5"/>
  <c r="P306" i="5"/>
  <c r="E307" i="5"/>
  <c r="N307" i="5"/>
  <c r="E308" i="5"/>
  <c r="H308" i="5"/>
  <c r="E309" i="5"/>
  <c r="L309" i="5"/>
  <c r="E310" i="5"/>
  <c r="N310" i="5"/>
  <c r="E311" i="5"/>
  <c r="H311" i="5"/>
  <c r="E312" i="5"/>
  <c r="H312" i="5"/>
  <c r="E313" i="5"/>
  <c r="H313" i="5"/>
  <c r="E314" i="5"/>
  <c r="H314" i="5"/>
  <c r="E315" i="5"/>
  <c r="H315" i="5"/>
  <c r="E316" i="5"/>
  <c r="L316" i="5"/>
  <c r="E317" i="5"/>
  <c r="N317" i="5"/>
  <c r="E318" i="5"/>
  <c r="N318" i="5"/>
  <c r="E319" i="5"/>
  <c r="L319" i="5"/>
  <c r="E320" i="5"/>
  <c r="N320" i="5"/>
  <c r="P320" i="5"/>
  <c r="E321" i="5"/>
  <c r="N321" i="5"/>
  <c r="E322" i="5"/>
  <c r="N322" i="5"/>
  <c r="P322" i="5"/>
  <c r="E323" i="5"/>
  <c r="N323" i="5"/>
  <c r="E324" i="5"/>
  <c r="N324" i="5"/>
  <c r="P324" i="5"/>
  <c r="E325" i="5"/>
  <c r="N325" i="5"/>
  <c r="E326" i="5"/>
  <c r="L326" i="5"/>
  <c r="E327" i="5"/>
  <c r="N327" i="5"/>
  <c r="P327" i="5"/>
  <c r="E328" i="5"/>
  <c r="N328" i="5"/>
  <c r="P328" i="5"/>
  <c r="E329" i="5"/>
  <c r="N329" i="5"/>
  <c r="P329" i="5"/>
  <c r="E330" i="5"/>
  <c r="N330" i="5"/>
  <c r="E331" i="5"/>
  <c r="N331" i="5"/>
  <c r="E332" i="5"/>
  <c r="H332" i="5"/>
  <c r="E333" i="5"/>
  <c r="H333" i="5"/>
  <c r="E334" i="5"/>
  <c r="N334" i="5"/>
  <c r="E335" i="5"/>
  <c r="H335" i="5"/>
  <c r="E336" i="5"/>
  <c r="H336" i="5"/>
  <c r="E337" i="5"/>
  <c r="H337" i="5"/>
  <c r="E338" i="5"/>
  <c r="H338" i="5"/>
  <c r="E339" i="5"/>
  <c r="H339" i="5"/>
  <c r="E340" i="5"/>
  <c r="N340" i="5"/>
  <c r="P340" i="5"/>
  <c r="E341" i="5"/>
  <c r="H341" i="5"/>
  <c r="E342" i="5"/>
  <c r="N342" i="5"/>
  <c r="E343" i="5"/>
  <c r="N343" i="5"/>
  <c r="E344" i="5"/>
  <c r="N344" i="5"/>
  <c r="E345" i="5"/>
  <c r="N345" i="5"/>
  <c r="E346" i="5"/>
  <c r="N346" i="5"/>
  <c r="E347" i="5"/>
  <c r="N347" i="5"/>
  <c r="P347" i="5"/>
  <c r="E348" i="5"/>
  <c r="N348" i="5"/>
  <c r="E349" i="5"/>
  <c r="H349" i="5"/>
  <c r="E350" i="5"/>
  <c r="H350" i="5"/>
  <c r="E351" i="5"/>
  <c r="L351" i="5"/>
  <c r="E352" i="5"/>
  <c r="N352" i="5"/>
  <c r="P352" i="5"/>
  <c r="E353" i="5"/>
  <c r="N353" i="5"/>
  <c r="E354" i="5"/>
  <c r="L354" i="5"/>
  <c r="E355" i="5"/>
  <c r="L355" i="5"/>
  <c r="E356" i="5"/>
  <c r="N356" i="5"/>
  <c r="E357" i="5"/>
  <c r="H357" i="5"/>
  <c r="E358" i="5"/>
  <c r="N358" i="5"/>
  <c r="E359" i="5"/>
  <c r="H359" i="5"/>
  <c r="E360" i="5"/>
  <c r="N360" i="5"/>
  <c r="E361" i="5"/>
  <c r="N361" i="5"/>
  <c r="P361" i="5"/>
  <c r="E362" i="5"/>
  <c r="N362" i="5"/>
  <c r="P362" i="5"/>
  <c r="E363" i="5"/>
  <c r="N363" i="5"/>
  <c r="P363" i="5"/>
  <c r="E364" i="5"/>
  <c r="H364" i="5"/>
  <c r="E365" i="5"/>
  <c r="N365" i="5"/>
  <c r="E366" i="5"/>
  <c r="L366" i="5"/>
  <c r="E367" i="5"/>
  <c r="N367" i="5"/>
  <c r="P367" i="5"/>
  <c r="E368" i="5"/>
  <c r="N368" i="5"/>
  <c r="E369" i="5"/>
  <c r="N369" i="5"/>
  <c r="E370" i="5"/>
  <c r="N370" i="5"/>
  <c r="P370" i="5"/>
  <c r="E371" i="5"/>
  <c r="N371" i="5"/>
  <c r="P371" i="5"/>
  <c r="E372" i="5"/>
  <c r="N372" i="5"/>
  <c r="E373" i="5"/>
  <c r="H373" i="5"/>
  <c r="E374" i="5"/>
  <c r="L374" i="5"/>
  <c r="E375" i="5"/>
  <c r="H375" i="5"/>
  <c r="E376" i="5"/>
  <c r="N376" i="5"/>
  <c r="E377" i="5"/>
  <c r="N377" i="5"/>
  <c r="P377" i="5"/>
  <c r="E378" i="5"/>
  <c r="N378" i="5"/>
  <c r="E379" i="5"/>
  <c r="N379" i="5"/>
  <c r="P379" i="5"/>
  <c r="E380" i="5"/>
  <c r="N380" i="5"/>
  <c r="P380" i="5"/>
  <c r="E381" i="5"/>
  <c r="L381" i="5"/>
  <c r="E382" i="5"/>
  <c r="H382" i="5"/>
  <c r="E383" i="5"/>
  <c r="H383" i="5"/>
  <c r="E384" i="5"/>
  <c r="N384" i="5"/>
  <c r="E385" i="5"/>
  <c r="H385" i="5"/>
  <c r="E386" i="5"/>
  <c r="H386" i="5"/>
  <c r="E387" i="5"/>
  <c r="H387" i="5"/>
  <c r="E388" i="5"/>
  <c r="H388" i="5"/>
  <c r="E389" i="5"/>
  <c r="N389" i="5"/>
  <c r="P389" i="5"/>
  <c r="E391" i="5"/>
  <c r="L391" i="5"/>
  <c r="E392" i="5"/>
  <c r="N392" i="5"/>
  <c r="E393" i="5"/>
  <c r="L393" i="5"/>
  <c r="E394" i="5"/>
  <c r="N394" i="5"/>
  <c r="E395" i="5"/>
  <c r="N395" i="5"/>
  <c r="E396" i="5"/>
  <c r="N396" i="5"/>
  <c r="E397" i="5"/>
  <c r="N397" i="5"/>
  <c r="E398" i="5"/>
  <c r="N398" i="5"/>
  <c r="E399" i="5"/>
  <c r="H399" i="5"/>
  <c r="E400" i="5"/>
  <c r="L400" i="5"/>
  <c r="E401" i="5"/>
  <c r="N401" i="5"/>
  <c r="E402" i="5"/>
  <c r="N402" i="5"/>
  <c r="E403" i="5"/>
  <c r="N403" i="5"/>
  <c r="P403" i="5"/>
  <c r="E404" i="5"/>
  <c r="H404" i="5"/>
  <c r="E405" i="5"/>
  <c r="H405" i="5"/>
  <c r="E406" i="5"/>
  <c r="H406" i="5"/>
  <c r="E407" i="5"/>
  <c r="N407" i="5"/>
  <c r="E408" i="5"/>
  <c r="L408" i="5"/>
  <c r="E409" i="5"/>
  <c r="H409" i="5"/>
  <c r="E410" i="5"/>
  <c r="H410" i="5"/>
  <c r="E411" i="5"/>
  <c r="N411" i="5"/>
  <c r="E412" i="5"/>
  <c r="N412" i="5"/>
  <c r="P412" i="5"/>
  <c r="E413" i="5"/>
  <c r="N413" i="5"/>
  <c r="E414" i="5"/>
  <c r="N414" i="5"/>
  <c r="E415" i="5"/>
  <c r="N415" i="5"/>
  <c r="P415" i="5"/>
  <c r="E416" i="5"/>
  <c r="N416" i="5"/>
  <c r="E417" i="5"/>
  <c r="N417" i="5"/>
  <c r="E418" i="5"/>
  <c r="L418" i="5"/>
  <c r="E419" i="5"/>
  <c r="L419" i="5"/>
  <c r="E420" i="5"/>
  <c r="L420" i="5"/>
  <c r="E421" i="5"/>
  <c r="H421" i="5"/>
  <c r="E422" i="5"/>
  <c r="H422" i="5"/>
  <c r="E423" i="5"/>
  <c r="L423" i="5"/>
  <c r="E424" i="5"/>
  <c r="N424" i="5"/>
  <c r="P424" i="5"/>
  <c r="E425" i="5"/>
  <c r="H425" i="5"/>
  <c r="E426" i="5"/>
  <c r="N426" i="5"/>
  <c r="P426" i="5"/>
  <c r="E427" i="5"/>
  <c r="L427" i="5"/>
  <c r="E428" i="5"/>
  <c r="L428" i="5"/>
  <c r="E429" i="5"/>
  <c r="N429" i="5"/>
  <c r="E430" i="5"/>
  <c r="H430" i="5"/>
  <c r="E431" i="5"/>
  <c r="N431" i="5"/>
  <c r="P431" i="5"/>
  <c r="E432" i="5"/>
  <c r="N432" i="5"/>
  <c r="E433" i="5"/>
  <c r="L433" i="5"/>
  <c r="E434" i="5"/>
  <c r="N434" i="5"/>
  <c r="E435" i="5"/>
  <c r="N435" i="5"/>
  <c r="P435" i="5"/>
  <c r="E436" i="5"/>
  <c r="N436" i="5"/>
  <c r="E437" i="5"/>
  <c r="N437" i="5"/>
  <c r="E438" i="5"/>
  <c r="N438" i="5"/>
  <c r="E439" i="5"/>
  <c r="N439" i="5"/>
  <c r="E440" i="5"/>
  <c r="N440" i="5"/>
  <c r="E441" i="5"/>
  <c r="L441" i="5"/>
  <c r="E442" i="5"/>
  <c r="H442" i="5"/>
  <c r="E443" i="5"/>
  <c r="N443" i="5"/>
  <c r="E444" i="5"/>
  <c r="N444" i="5"/>
  <c r="E445" i="5"/>
  <c r="N445" i="5"/>
  <c r="P445" i="5"/>
  <c r="E446" i="5"/>
  <c r="N446" i="5"/>
  <c r="E447" i="5"/>
  <c r="H447" i="5"/>
  <c r="E448" i="5"/>
  <c r="N448" i="5"/>
  <c r="E449" i="5"/>
  <c r="H449" i="5"/>
  <c r="E450" i="5"/>
  <c r="N450" i="5"/>
  <c r="E451" i="5"/>
  <c r="L451" i="5"/>
  <c r="E452" i="5"/>
  <c r="L452" i="5"/>
  <c r="E453" i="5"/>
  <c r="L453" i="5"/>
  <c r="E454" i="5"/>
  <c r="E455" i="5"/>
  <c r="E456" i="5"/>
  <c r="N456" i="5"/>
  <c r="E457" i="5"/>
  <c r="N457" i="5"/>
  <c r="E458" i="5"/>
  <c r="N458" i="5"/>
  <c r="E459" i="5"/>
  <c r="N459" i="5"/>
  <c r="E460" i="5"/>
  <c r="H460" i="5"/>
  <c r="E461" i="5"/>
  <c r="H461" i="5"/>
  <c r="E462" i="5"/>
  <c r="N462" i="5"/>
  <c r="P462" i="5"/>
  <c r="E463" i="5"/>
  <c r="L463" i="5"/>
  <c r="E464" i="5"/>
  <c r="N464" i="5"/>
  <c r="E465" i="5"/>
  <c r="N465" i="5"/>
  <c r="E466" i="5"/>
  <c r="L466" i="5"/>
  <c r="E467" i="5"/>
  <c r="N467" i="5"/>
  <c r="E468" i="5"/>
  <c r="N468" i="5"/>
  <c r="E469" i="5"/>
  <c r="N469" i="5"/>
  <c r="P469" i="5"/>
  <c r="E470" i="5"/>
  <c r="N470" i="5"/>
  <c r="P470" i="5"/>
  <c r="E471" i="5"/>
  <c r="N471" i="5"/>
  <c r="P471" i="5"/>
  <c r="E472" i="5"/>
  <c r="N472" i="5"/>
  <c r="P472" i="5"/>
  <c r="E473" i="5"/>
  <c r="N473" i="5"/>
  <c r="P473" i="5"/>
  <c r="E474" i="5"/>
  <c r="N474" i="5"/>
  <c r="E475" i="5"/>
  <c r="L475" i="5"/>
  <c r="E476" i="5"/>
  <c r="N476" i="5"/>
  <c r="E477" i="5"/>
  <c r="H477" i="5"/>
  <c r="E478" i="5"/>
  <c r="H478" i="5"/>
  <c r="E479" i="5"/>
  <c r="N479" i="5"/>
  <c r="E480" i="5"/>
  <c r="N480" i="5"/>
  <c r="E481" i="5"/>
  <c r="N481" i="5"/>
  <c r="E482" i="5"/>
  <c r="H482" i="5"/>
  <c r="E483" i="5"/>
  <c r="N483" i="5"/>
  <c r="P483" i="5"/>
  <c r="E484" i="5"/>
  <c r="N484" i="5"/>
  <c r="E485" i="5"/>
  <c r="H485" i="5"/>
  <c r="E486" i="5"/>
  <c r="N486" i="5"/>
  <c r="P486" i="5"/>
  <c r="E487" i="5"/>
  <c r="L487" i="5"/>
  <c r="E488" i="5"/>
  <c r="H488" i="5"/>
  <c r="E489" i="5"/>
  <c r="H489" i="5"/>
  <c r="E490" i="5"/>
  <c r="H490" i="5"/>
  <c r="E491" i="5"/>
  <c r="H491" i="5"/>
  <c r="E492" i="5"/>
  <c r="H492" i="5"/>
  <c r="E493" i="5"/>
  <c r="L493" i="5"/>
  <c r="E494" i="5"/>
  <c r="L494" i="5"/>
  <c r="E495" i="5"/>
  <c r="L495" i="5"/>
  <c r="E496" i="5"/>
  <c r="N496" i="5"/>
  <c r="E497" i="5"/>
  <c r="L497" i="5"/>
  <c r="E498" i="5"/>
  <c r="N498" i="5"/>
  <c r="E499" i="5"/>
  <c r="N499" i="5"/>
  <c r="E500" i="5"/>
  <c r="H500" i="5"/>
  <c r="E501" i="5"/>
  <c r="H501" i="5"/>
  <c r="E502" i="5"/>
  <c r="H502" i="5"/>
  <c r="E503" i="5"/>
  <c r="H503" i="5"/>
  <c r="E504" i="5"/>
  <c r="H504" i="5"/>
  <c r="E505" i="5"/>
  <c r="H505" i="5"/>
  <c r="E506" i="5"/>
  <c r="N506" i="5"/>
  <c r="P506" i="5"/>
  <c r="E507" i="5"/>
  <c r="N507" i="5"/>
  <c r="P507" i="5"/>
  <c r="E508" i="5"/>
  <c r="N508" i="5"/>
  <c r="E509" i="5"/>
  <c r="N509" i="5"/>
  <c r="E510" i="5"/>
  <c r="N510" i="5"/>
  <c r="E511" i="5"/>
  <c r="L511" i="5"/>
  <c r="E512" i="5"/>
  <c r="N512" i="5"/>
  <c r="P512" i="5"/>
  <c r="E513" i="5"/>
  <c r="N513" i="5"/>
  <c r="E514" i="5"/>
  <c r="N514" i="5"/>
  <c r="E515" i="5"/>
  <c r="N515" i="5"/>
  <c r="P515" i="5"/>
  <c r="E516" i="5"/>
  <c r="L516" i="5"/>
  <c r="E517" i="5"/>
  <c r="H517" i="5"/>
  <c r="E518" i="5"/>
  <c r="L518" i="5"/>
  <c r="E519" i="5"/>
  <c r="L519" i="5"/>
  <c r="E520" i="5"/>
  <c r="N520" i="5"/>
  <c r="P520" i="5"/>
  <c r="E521" i="5"/>
  <c r="L521" i="5"/>
  <c r="E522" i="5"/>
  <c r="N522" i="5"/>
  <c r="E523" i="5"/>
  <c r="N523" i="5"/>
  <c r="E524" i="5"/>
  <c r="H524" i="5"/>
  <c r="E525" i="5"/>
  <c r="L525" i="5"/>
  <c r="E526" i="5"/>
  <c r="L526" i="5"/>
  <c r="E527" i="5"/>
  <c r="N527" i="5"/>
  <c r="E528" i="5"/>
  <c r="N528" i="5"/>
  <c r="P528" i="5"/>
  <c r="E529" i="5"/>
  <c r="N529" i="5"/>
  <c r="E530" i="5"/>
  <c r="N530" i="5"/>
  <c r="E531" i="5"/>
  <c r="N531" i="5"/>
  <c r="P531" i="5"/>
  <c r="E532" i="5"/>
  <c r="H532" i="5"/>
  <c r="E533" i="5"/>
  <c r="H533" i="5"/>
  <c r="E534" i="5"/>
  <c r="N534" i="5"/>
  <c r="E535" i="5"/>
  <c r="N535" i="5"/>
  <c r="P535" i="5"/>
  <c r="E536" i="5"/>
  <c r="N536" i="5"/>
  <c r="P536" i="5"/>
  <c r="E537" i="5"/>
  <c r="N537" i="5"/>
  <c r="E538" i="5"/>
  <c r="N538" i="5"/>
  <c r="E539" i="5"/>
  <c r="N539" i="5"/>
  <c r="E540" i="5"/>
  <c r="N540" i="5"/>
  <c r="E541" i="5"/>
  <c r="N541" i="5"/>
  <c r="E542" i="5"/>
  <c r="N542" i="5"/>
  <c r="E543" i="5"/>
  <c r="H543" i="5"/>
  <c r="E544" i="5"/>
  <c r="N544" i="5"/>
  <c r="P544" i="5"/>
  <c r="E545" i="5"/>
  <c r="N545" i="5"/>
  <c r="P545" i="5"/>
  <c r="E546" i="5"/>
  <c r="N546" i="5"/>
  <c r="E547" i="5"/>
  <c r="N547" i="5"/>
  <c r="P547" i="5"/>
  <c r="E548" i="5"/>
  <c r="N548" i="5"/>
  <c r="E549" i="5"/>
  <c r="N549" i="5"/>
  <c r="E550" i="5"/>
  <c r="N550" i="5"/>
  <c r="E551" i="5"/>
  <c r="H551" i="5"/>
  <c r="E552" i="5"/>
  <c r="H552" i="5"/>
  <c r="E553" i="5"/>
  <c r="H553" i="5"/>
  <c r="E554" i="5"/>
  <c r="H554" i="5"/>
  <c r="E555" i="5"/>
  <c r="N555" i="5"/>
  <c r="P555" i="5"/>
  <c r="E556" i="5"/>
  <c r="H556" i="5"/>
  <c r="E557" i="5"/>
  <c r="H557" i="5"/>
  <c r="E558" i="5"/>
  <c r="N558" i="5"/>
  <c r="E559" i="5"/>
  <c r="L559" i="5"/>
  <c r="E560" i="5"/>
  <c r="L560" i="5"/>
  <c r="E561" i="5"/>
  <c r="L561" i="5"/>
  <c r="E562" i="5"/>
  <c r="H562" i="5"/>
  <c r="E563" i="5"/>
  <c r="H563" i="5"/>
  <c r="E564" i="5"/>
  <c r="H564" i="5"/>
  <c r="E565" i="5"/>
  <c r="H565" i="5"/>
  <c r="E566" i="5"/>
  <c r="L566" i="5"/>
  <c r="E567" i="5"/>
  <c r="H567" i="5"/>
  <c r="E568" i="5"/>
  <c r="N568" i="5"/>
  <c r="P568" i="5"/>
  <c r="E569" i="5"/>
  <c r="N569" i="5"/>
  <c r="P569" i="5"/>
  <c r="E570" i="5"/>
  <c r="N570" i="5"/>
  <c r="P570" i="5"/>
  <c r="E571" i="5"/>
  <c r="N571" i="5"/>
  <c r="E572" i="5"/>
  <c r="H572" i="5"/>
  <c r="E573" i="5"/>
  <c r="H573" i="5"/>
  <c r="E574" i="5"/>
  <c r="H574" i="5"/>
  <c r="E575" i="5"/>
  <c r="N575" i="5"/>
  <c r="P575" i="5"/>
  <c r="E576" i="5"/>
  <c r="H576" i="5"/>
  <c r="E577" i="5"/>
  <c r="N577" i="5"/>
  <c r="E578" i="5"/>
  <c r="N578" i="5"/>
  <c r="E579" i="5"/>
  <c r="N579" i="5"/>
  <c r="P579" i="5"/>
  <c r="E580" i="5"/>
  <c r="N580" i="5"/>
  <c r="E581" i="5"/>
  <c r="N581" i="5"/>
  <c r="P581" i="5"/>
  <c r="E582" i="5"/>
  <c r="N582" i="5"/>
  <c r="E583" i="5"/>
  <c r="N583" i="5"/>
  <c r="E584" i="5"/>
  <c r="N584" i="5"/>
  <c r="E585" i="5"/>
  <c r="N585" i="5"/>
  <c r="E586" i="5"/>
  <c r="L586" i="5"/>
  <c r="E587" i="5"/>
  <c r="H587" i="5"/>
  <c r="E588" i="5"/>
  <c r="H588" i="5"/>
  <c r="E589" i="5"/>
  <c r="H589" i="5"/>
  <c r="E590" i="5"/>
  <c r="H590" i="5"/>
  <c r="E591" i="5"/>
  <c r="L591" i="5"/>
  <c r="E592" i="5"/>
  <c r="L592" i="5"/>
  <c r="E593" i="5"/>
  <c r="N593" i="5"/>
  <c r="E594" i="5"/>
  <c r="N594" i="5"/>
  <c r="E595" i="5"/>
  <c r="N595" i="5"/>
  <c r="E596" i="5"/>
  <c r="N596" i="5"/>
  <c r="P596" i="5"/>
  <c r="E597" i="5"/>
  <c r="N597" i="5"/>
  <c r="E598" i="5"/>
  <c r="N598" i="5"/>
  <c r="E599" i="5"/>
  <c r="N599" i="5"/>
  <c r="P599" i="5"/>
  <c r="E600" i="5"/>
  <c r="L600" i="5"/>
  <c r="E601" i="5"/>
  <c r="N601" i="5"/>
  <c r="P601" i="5"/>
  <c r="E602" i="5"/>
  <c r="N602" i="5"/>
  <c r="P602" i="5"/>
  <c r="E603" i="5"/>
  <c r="N603" i="5"/>
  <c r="P603" i="5"/>
  <c r="E604" i="5"/>
  <c r="N604" i="5"/>
  <c r="E605" i="5"/>
  <c r="N605" i="5"/>
  <c r="E606" i="5"/>
  <c r="N606" i="5"/>
  <c r="E607" i="5"/>
  <c r="E608" i="5"/>
  <c r="H608" i="5"/>
  <c r="E609" i="5"/>
  <c r="H609" i="5"/>
  <c r="E610" i="5"/>
  <c r="N610" i="5"/>
  <c r="P610" i="5"/>
  <c r="E611" i="5"/>
  <c r="L611" i="5"/>
  <c r="E612" i="5"/>
  <c r="N612" i="5"/>
  <c r="E613" i="5"/>
  <c r="N613" i="5"/>
  <c r="E614" i="5"/>
  <c r="N614" i="5"/>
  <c r="E615" i="5"/>
  <c r="H615" i="5"/>
  <c r="E616" i="5"/>
  <c r="N616" i="5"/>
  <c r="E617" i="5"/>
  <c r="L617" i="5"/>
  <c r="E618" i="5"/>
  <c r="N618" i="5"/>
  <c r="P618" i="5"/>
  <c r="E619" i="5"/>
  <c r="L619" i="5"/>
  <c r="E620" i="5"/>
  <c r="L620" i="5"/>
  <c r="E621" i="5"/>
  <c r="L621" i="5"/>
  <c r="E622" i="5"/>
  <c r="N622" i="5"/>
  <c r="E623" i="5"/>
  <c r="N623" i="5"/>
  <c r="E624" i="5"/>
  <c r="N624" i="5"/>
  <c r="E625" i="5"/>
  <c r="N625" i="5"/>
  <c r="E626" i="5"/>
  <c r="H626" i="5"/>
  <c r="E627" i="5"/>
  <c r="N627" i="5"/>
  <c r="E628" i="5"/>
  <c r="H628" i="5"/>
  <c r="E629" i="5"/>
  <c r="H629" i="5"/>
  <c r="E630" i="5"/>
  <c r="N630" i="5"/>
  <c r="P630" i="5"/>
  <c r="E631" i="5"/>
  <c r="L631" i="5"/>
  <c r="E632" i="5"/>
  <c r="H632" i="5"/>
  <c r="E633" i="5"/>
  <c r="H633" i="5"/>
  <c r="E634" i="5"/>
  <c r="H634" i="5"/>
  <c r="E635" i="5"/>
  <c r="N635" i="5"/>
  <c r="E636" i="5"/>
  <c r="N636" i="5"/>
  <c r="E637" i="5"/>
  <c r="N637" i="5"/>
  <c r="P637" i="5"/>
  <c r="E638" i="5"/>
  <c r="N638" i="5"/>
  <c r="E639" i="5"/>
  <c r="L639" i="5"/>
  <c r="E640" i="5"/>
  <c r="N640" i="5"/>
  <c r="P640" i="5"/>
  <c r="E641" i="5"/>
  <c r="N641" i="5"/>
  <c r="E642" i="5"/>
  <c r="L642" i="5"/>
  <c r="E643" i="5"/>
  <c r="L643" i="5"/>
  <c r="E644" i="5"/>
  <c r="H644" i="5"/>
  <c r="E645" i="5"/>
  <c r="H645" i="5"/>
  <c r="E646" i="5"/>
  <c r="H646" i="5"/>
  <c r="E647" i="5"/>
  <c r="N647" i="5"/>
  <c r="E648" i="5"/>
  <c r="N648" i="5"/>
  <c r="E649" i="5"/>
  <c r="N649" i="5"/>
  <c r="E650" i="5"/>
  <c r="L650" i="5"/>
  <c r="E651" i="5"/>
  <c r="N651" i="5"/>
  <c r="P651" i="5"/>
  <c r="E652" i="5"/>
  <c r="N652" i="5"/>
  <c r="E653" i="5"/>
  <c r="N653" i="5"/>
  <c r="E654" i="5"/>
  <c r="N654" i="5"/>
  <c r="P654" i="5"/>
  <c r="E655" i="5"/>
  <c r="L655" i="5"/>
  <c r="E656" i="5"/>
  <c r="N656" i="5"/>
  <c r="E657" i="5"/>
  <c r="N657" i="5"/>
  <c r="E658" i="5"/>
  <c r="L658" i="5"/>
  <c r="E659" i="5"/>
  <c r="N659" i="5"/>
  <c r="E660" i="5"/>
  <c r="L660" i="5"/>
  <c r="E661" i="5"/>
  <c r="N661" i="5"/>
  <c r="E662" i="5"/>
  <c r="N662" i="5"/>
  <c r="E663" i="5"/>
  <c r="L663" i="5"/>
  <c r="E664" i="5"/>
  <c r="N664" i="5"/>
  <c r="P664" i="5"/>
  <c r="E665" i="5"/>
  <c r="N665" i="5"/>
  <c r="E666" i="5"/>
  <c r="N666" i="5"/>
  <c r="E667" i="5"/>
  <c r="N667" i="5"/>
  <c r="E668" i="5"/>
  <c r="H668" i="5"/>
  <c r="E669" i="5"/>
  <c r="H669" i="5"/>
  <c r="E670" i="5"/>
  <c r="H670" i="5"/>
  <c r="E671" i="5"/>
  <c r="H671" i="5"/>
  <c r="E672" i="5"/>
  <c r="N672" i="5"/>
  <c r="E673" i="5"/>
  <c r="N673" i="5"/>
  <c r="P673" i="5"/>
  <c r="E674" i="5"/>
  <c r="N674" i="5"/>
  <c r="P674" i="5"/>
  <c r="E675" i="5"/>
  <c r="L675" i="5"/>
  <c r="E676" i="5"/>
  <c r="H676" i="5"/>
  <c r="E677" i="5"/>
  <c r="H677" i="5"/>
  <c r="E678" i="5"/>
  <c r="N678" i="5"/>
  <c r="E679" i="5"/>
  <c r="N679" i="5"/>
  <c r="P679" i="5"/>
  <c r="E680" i="5"/>
  <c r="H680" i="5"/>
  <c r="E681" i="5"/>
  <c r="N681" i="5"/>
  <c r="E682" i="5"/>
  <c r="N682" i="5"/>
  <c r="E683" i="5"/>
  <c r="N683" i="5"/>
  <c r="E684" i="5"/>
  <c r="N684" i="5"/>
  <c r="E685" i="5"/>
  <c r="L685" i="5"/>
  <c r="E686" i="5"/>
  <c r="L686" i="5"/>
  <c r="E687" i="5"/>
  <c r="L687" i="5"/>
  <c r="E688" i="5"/>
  <c r="N688" i="5"/>
  <c r="E689" i="5"/>
  <c r="H689" i="5"/>
  <c r="E690" i="5"/>
  <c r="N690" i="5"/>
  <c r="E691" i="5"/>
  <c r="H691" i="5"/>
  <c r="E692" i="5"/>
  <c r="L692" i="5"/>
  <c r="E693" i="5"/>
  <c r="L693" i="5"/>
  <c r="E694" i="5"/>
  <c r="L694" i="5"/>
  <c r="E695" i="5"/>
  <c r="N695" i="5"/>
  <c r="E696" i="5"/>
  <c r="N696" i="5"/>
  <c r="E697" i="5"/>
  <c r="N697" i="5"/>
  <c r="E698" i="5"/>
  <c r="N698" i="5"/>
  <c r="P698" i="5"/>
  <c r="E699" i="5"/>
  <c r="N699" i="5"/>
  <c r="E700" i="5"/>
  <c r="H700" i="5"/>
  <c r="E701" i="5"/>
  <c r="H701" i="5"/>
  <c r="E702" i="5"/>
  <c r="N702" i="5"/>
  <c r="E703" i="5"/>
  <c r="N703" i="5"/>
  <c r="P703" i="5"/>
  <c r="E704" i="5"/>
  <c r="N704" i="5"/>
  <c r="E705" i="5"/>
  <c r="N705" i="5"/>
  <c r="E706" i="5"/>
  <c r="N706" i="5"/>
  <c r="E707" i="5"/>
  <c r="N707" i="5"/>
  <c r="E708" i="5"/>
  <c r="N708" i="5"/>
  <c r="E709" i="5"/>
  <c r="N709" i="5"/>
  <c r="E710" i="5"/>
  <c r="N710" i="5"/>
  <c r="E711" i="5"/>
  <c r="N711" i="5"/>
  <c r="E712" i="5"/>
  <c r="N712" i="5"/>
  <c r="E713" i="5"/>
  <c r="N713" i="5"/>
  <c r="P713" i="5"/>
  <c r="E714" i="5"/>
  <c r="N714" i="5"/>
  <c r="P714" i="5"/>
  <c r="E715" i="5"/>
  <c r="N715" i="5"/>
  <c r="E716" i="5"/>
  <c r="N716" i="5"/>
  <c r="E717" i="5"/>
  <c r="H717" i="5"/>
  <c r="E718" i="5"/>
  <c r="H718" i="5"/>
  <c r="E719" i="5"/>
  <c r="H719" i="5"/>
  <c r="E720" i="5"/>
  <c r="N720" i="5"/>
  <c r="P720" i="5"/>
  <c r="E721" i="5"/>
  <c r="H721" i="5"/>
  <c r="E722" i="5"/>
  <c r="N722" i="5"/>
  <c r="P722" i="5"/>
  <c r="E723" i="5"/>
  <c r="H723" i="5"/>
  <c r="E724" i="5"/>
  <c r="H724" i="5"/>
  <c r="E725" i="5"/>
  <c r="N725" i="5"/>
  <c r="P725" i="5"/>
  <c r="E726" i="5"/>
  <c r="H726" i="5"/>
  <c r="E727" i="5"/>
  <c r="H727" i="5"/>
  <c r="E728" i="5"/>
  <c r="H728" i="5"/>
  <c r="E729" i="5"/>
  <c r="H729" i="5"/>
  <c r="E730" i="5"/>
  <c r="H730" i="5"/>
  <c r="E731" i="5"/>
  <c r="L731" i="5"/>
  <c r="E732" i="5"/>
  <c r="L732" i="5"/>
  <c r="E733" i="5"/>
  <c r="L733" i="5"/>
  <c r="E734" i="5"/>
  <c r="N734" i="5"/>
  <c r="E735" i="5"/>
  <c r="N735" i="5"/>
  <c r="P735" i="5"/>
  <c r="E736" i="5"/>
  <c r="N736" i="5"/>
  <c r="P736" i="5"/>
  <c r="E737" i="5"/>
  <c r="N737" i="5"/>
  <c r="E738" i="5"/>
  <c r="H738" i="5"/>
  <c r="E739" i="5"/>
  <c r="L739" i="5"/>
  <c r="E740" i="5"/>
  <c r="L740" i="5"/>
  <c r="E741" i="5"/>
  <c r="E742" i="5"/>
  <c r="N742" i="5"/>
  <c r="E743" i="5"/>
  <c r="N743" i="5"/>
  <c r="E744" i="5"/>
  <c r="N744" i="5"/>
  <c r="E745" i="5"/>
  <c r="N745" i="5"/>
  <c r="P745" i="5"/>
  <c r="E746" i="5"/>
  <c r="L746" i="5"/>
  <c r="E747" i="5"/>
  <c r="H747" i="5"/>
  <c r="E748" i="5"/>
  <c r="N748" i="5"/>
  <c r="E749" i="5"/>
  <c r="N749" i="5"/>
  <c r="E750" i="5"/>
  <c r="N750" i="5"/>
  <c r="E751" i="5"/>
  <c r="N751" i="5"/>
  <c r="E752" i="5"/>
  <c r="N752" i="5"/>
  <c r="E753" i="5"/>
  <c r="H753" i="5"/>
  <c r="E754" i="5"/>
  <c r="H754" i="5"/>
  <c r="E755" i="5"/>
  <c r="L755" i="5"/>
  <c r="E756" i="5"/>
  <c r="L756" i="5"/>
  <c r="E757" i="5"/>
  <c r="N757" i="5"/>
  <c r="E758" i="5"/>
  <c r="N758" i="5"/>
  <c r="P758" i="5"/>
  <c r="E759" i="5"/>
  <c r="N759" i="5"/>
  <c r="E760" i="5"/>
  <c r="N760" i="5"/>
  <c r="P760" i="5"/>
  <c r="E761" i="5"/>
  <c r="N761" i="5"/>
  <c r="E3" i="5"/>
  <c r="N3" i="5"/>
  <c r="P3" i="5"/>
  <c r="E2" i="5"/>
  <c r="P292" i="5"/>
  <c r="P594" i="5"/>
  <c r="P522" i="5"/>
  <c r="P498" i="5"/>
  <c r="P353" i="5"/>
  <c r="P281" i="5"/>
  <c r="P209" i="5"/>
  <c r="P185" i="5"/>
  <c r="L625" i="5"/>
  <c r="N731" i="5"/>
  <c r="N629" i="5"/>
  <c r="P629" i="5"/>
  <c r="N586" i="5"/>
  <c r="P586" i="5"/>
  <c r="N566" i="5"/>
  <c r="P737" i="5"/>
  <c r="P665" i="5"/>
  <c r="P593" i="5"/>
  <c r="P376" i="5"/>
  <c r="P280" i="5"/>
  <c r="P208" i="5"/>
  <c r="P136" i="5"/>
  <c r="P40" i="5"/>
  <c r="P16" i="5"/>
  <c r="H650" i="5"/>
  <c r="N400" i="5"/>
  <c r="P400" i="5"/>
  <c r="P61" i="5"/>
  <c r="P468" i="5"/>
  <c r="H98" i="5"/>
  <c r="P455" i="5"/>
  <c r="L182" i="5"/>
  <c r="P681" i="5"/>
  <c r="N267" i="5"/>
  <c r="N205" i="5"/>
  <c r="H74" i="5"/>
  <c r="P345" i="5"/>
  <c r="P657" i="5"/>
  <c r="P344" i="5"/>
  <c r="P176" i="5"/>
  <c r="P80" i="5"/>
  <c r="P8" i="5"/>
  <c r="H601" i="5"/>
  <c r="H384" i="5"/>
  <c r="H48" i="5"/>
  <c r="N516" i="5"/>
  <c r="N495" i="5"/>
  <c r="P495" i="5"/>
  <c r="P656" i="5"/>
  <c r="P440" i="5"/>
  <c r="P416" i="5"/>
  <c r="P343" i="5"/>
  <c r="P271" i="5"/>
  <c r="P223" i="5"/>
  <c r="P127" i="5"/>
  <c r="P79" i="5"/>
  <c r="H600" i="5"/>
  <c r="N433" i="5"/>
  <c r="N349" i="5"/>
  <c r="P349" i="5"/>
  <c r="N266" i="5"/>
  <c r="P439" i="5"/>
  <c r="N721" i="5"/>
  <c r="N701" i="5"/>
  <c r="N660" i="5"/>
  <c r="N556" i="5"/>
  <c r="P556" i="5"/>
  <c r="P348" i="5"/>
  <c r="N33" i="5"/>
  <c r="P33" i="5"/>
  <c r="P583" i="5"/>
  <c r="P126" i="5"/>
  <c r="P30" i="5"/>
  <c r="H363" i="5"/>
  <c r="P582" i="5"/>
  <c r="P510" i="5"/>
  <c r="P414" i="5"/>
  <c r="P269" i="5"/>
  <c r="P125" i="5"/>
  <c r="H360" i="5"/>
  <c r="N639" i="5"/>
  <c r="P52" i="5"/>
  <c r="P28" i="5"/>
  <c r="H575" i="5"/>
  <c r="H291" i="5"/>
  <c r="L274" i="5"/>
  <c r="N410" i="5"/>
  <c r="N32" i="5"/>
  <c r="H530" i="5"/>
  <c r="H290" i="5"/>
  <c r="H265" i="5"/>
  <c r="P257" i="5"/>
  <c r="N195" i="5"/>
  <c r="P748" i="5"/>
  <c r="P627" i="5"/>
  <c r="P240" i="5"/>
  <c r="P432" i="5"/>
  <c r="P479" i="5"/>
  <c r="P407" i="5"/>
  <c r="H242" i="5"/>
  <c r="L224" i="5"/>
  <c r="P622" i="5"/>
  <c r="P598" i="5"/>
  <c r="P261" i="5"/>
  <c r="H696" i="5"/>
  <c r="H481" i="5"/>
  <c r="H240" i="5"/>
  <c r="L722" i="5"/>
  <c r="N485" i="5"/>
  <c r="N215" i="5"/>
  <c r="N174" i="5"/>
  <c r="P289" i="5"/>
  <c r="N675" i="5"/>
  <c r="P675" i="5"/>
  <c r="H264" i="5"/>
  <c r="P695" i="5"/>
  <c r="P262" i="5"/>
  <c r="P597" i="5"/>
  <c r="P429" i="5"/>
  <c r="P356" i="5"/>
  <c r="P188" i="5"/>
  <c r="P140" i="5"/>
  <c r="H695" i="5"/>
  <c r="H480" i="5"/>
  <c r="H216" i="5"/>
  <c r="L508" i="5"/>
  <c r="P752" i="5"/>
  <c r="N692" i="5"/>
  <c r="P692" i="5"/>
  <c r="N505" i="5"/>
  <c r="N423" i="5"/>
  <c r="P697" i="5"/>
  <c r="N155" i="5"/>
  <c r="P95" i="5"/>
  <c r="H506" i="5"/>
  <c r="P166" i="5"/>
  <c r="H697" i="5"/>
  <c r="L699" i="5"/>
  <c r="P716" i="5"/>
  <c r="P476" i="5"/>
  <c r="P331" i="5"/>
  <c r="P307" i="5"/>
  <c r="P259" i="5"/>
  <c r="P211" i="5"/>
  <c r="P187" i="5"/>
  <c r="P115" i="5"/>
  <c r="H674" i="5"/>
  <c r="H479" i="5"/>
  <c r="H213" i="5"/>
  <c r="L258" i="5"/>
  <c r="N732" i="5"/>
  <c r="P732" i="5"/>
  <c r="N671" i="5"/>
  <c r="P671" i="5"/>
  <c r="N567" i="5"/>
  <c r="P567" i="5"/>
  <c r="N526" i="5"/>
  <c r="N276" i="5"/>
  <c r="P276" i="5"/>
  <c r="P459" i="5"/>
  <c r="H698" i="5"/>
  <c r="N466" i="5"/>
  <c r="P466" i="5"/>
  <c r="P623" i="5"/>
  <c r="P238" i="5"/>
  <c r="P237" i="5"/>
  <c r="P667" i="5"/>
  <c r="P595" i="5"/>
  <c r="P571" i="5"/>
  <c r="P523" i="5"/>
  <c r="P499" i="5"/>
  <c r="P258" i="5"/>
  <c r="H673" i="5"/>
  <c r="H457" i="5"/>
  <c r="H192" i="5"/>
  <c r="N650" i="5"/>
  <c r="N422" i="5"/>
  <c r="N359" i="5"/>
  <c r="P359" i="5"/>
  <c r="N338" i="5"/>
  <c r="N23" i="5"/>
  <c r="P23" i="5"/>
  <c r="N2" i="5"/>
  <c r="P2" i="5"/>
  <c r="P43" i="5"/>
  <c r="P83" i="5"/>
  <c r="P103" i="5"/>
  <c r="P165" i="5"/>
  <c r="P537" i="5"/>
  <c r="P247" i="5"/>
  <c r="P734" i="5"/>
  <c r="P757" i="5"/>
  <c r="P710" i="5"/>
  <c r="P542" i="5"/>
  <c r="P253" i="5"/>
  <c r="P702" i="5"/>
  <c r="P475" i="5"/>
  <c r="P434" i="5"/>
  <c r="P287" i="5"/>
  <c r="P267" i="5"/>
  <c r="P541" i="5"/>
  <c r="P397" i="5"/>
  <c r="P372" i="5"/>
  <c r="P252" i="5"/>
  <c r="P688" i="5"/>
  <c r="P636" i="5"/>
  <c r="P540" i="5"/>
  <c r="P396" i="5"/>
  <c r="P227" i="5"/>
  <c r="P612" i="5"/>
  <c r="P683" i="5"/>
  <c r="P635" i="5"/>
  <c r="P539" i="5"/>
  <c r="P467" i="5"/>
  <c r="P395" i="5"/>
  <c r="P274" i="5"/>
  <c r="P378" i="5"/>
  <c r="P65" i="5"/>
  <c r="P707" i="5"/>
  <c r="P706" i="5"/>
  <c r="P682" i="5"/>
  <c r="P129" i="5"/>
  <c r="P390" i="5"/>
  <c r="P709" i="5"/>
  <c r="P585" i="5"/>
  <c r="P272" i="5"/>
  <c r="P155" i="5"/>
  <c r="P149" i="5"/>
  <c r="P652" i="5"/>
  <c r="P604" i="5"/>
  <c r="P580" i="5"/>
  <c r="P436" i="5"/>
  <c r="P291" i="5"/>
  <c r="P147" i="5"/>
  <c r="P175" i="5"/>
  <c r="P134" i="5"/>
  <c r="P527" i="5"/>
  <c r="P485" i="5"/>
  <c r="P481" i="5"/>
  <c r="P457" i="5"/>
  <c r="P288" i="5"/>
  <c r="P168" i="5"/>
  <c r="P423" i="5"/>
  <c r="P360" i="5"/>
  <c r="P749" i="5"/>
  <c r="P744" i="5"/>
  <c r="P625" i="5"/>
  <c r="P743" i="5"/>
  <c r="P648" i="5"/>
  <c r="P456" i="5"/>
  <c r="P650" i="5"/>
  <c r="H549" i="5"/>
  <c r="N308" i="5"/>
  <c r="H380" i="5"/>
  <c r="P639" i="5"/>
  <c r="H44" i="5"/>
  <c r="H716" i="5"/>
  <c r="H550" i="5"/>
  <c r="H458" i="5"/>
  <c r="H307" i="5"/>
  <c r="H217" i="5"/>
  <c r="H140" i="5"/>
  <c r="H49" i="5"/>
  <c r="L667" i="5"/>
  <c r="L349" i="5"/>
  <c r="N753" i="5"/>
  <c r="P753" i="5"/>
  <c r="N619" i="5"/>
  <c r="P619" i="5"/>
  <c r="N608" i="5"/>
  <c r="P608" i="5"/>
  <c r="N587" i="5"/>
  <c r="P587" i="5"/>
  <c r="N576" i="5"/>
  <c r="P576" i="5"/>
  <c r="N517" i="5"/>
  <c r="P517" i="5"/>
  <c r="P401" i="5"/>
  <c r="N339" i="5"/>
  <c r="P339" i="5"/>
  <c r="N277" i="5"/>
  <c r="P277" i="5"/>
  <c r="N216" i="5"/>
  <c r="N206" i="5"/>
  <c r="P206" i="5"/>
  <c r="N104" i="5"/>
  <c r="P104" i="5"/>
  <c r="N93" i="5"/>
  <c r="N73" i="5"/>
  <c r="P73" i="5"/>
  <c r="P113" i="5"/>
  <c r="H43" i="5"/>
  <c r="N740" i="5"/>
  <c r="N691" i="5"/>
  <c r="P691" i="5"/>
  <c r="P659" i="5"/>
  <c r="P526" i="5"/>
  <c r="P410" i="5"/>
  <c r="P368" i="5"/>
  <c r="P286" i="5"/>
  <c r="N194" i="5"/>
  <c r="P194" i="5"/>
  <c r="N164" i="5"/>
  <c r="P164" i="5"/>
  <c r="P143" i="5"/>
  <c r="P102" i="5"/>
  <c r="P71" i="5"/>
  <c r="P72" i="5"/>
  <c r="P465" i="5"/>
  <c r="N700" i="5"/>
  <c r="P700" i="5"/>
  <c r="P464" i="5"/>
  <c r="H620" i="5"/>
  <c r="H453" i="5"/>
  <c r="H362" i="5"/>
  <c r="H285" i="5"/>
  <c r="H27" i="5"/>
  <c r="L754" i="5"/>
  <c r="L573" i="5"/>
  <c r="P761" i="5"/>
  <c r="N730" i="5"/>
  <c r="P730" i="5"/>
  <c r="P690" i="5"/>
  <c r="N617" i="5"/>
  <c r="P617" i="5"/>
  <c r="N574" i="5"/>
  <c r="N565" i="5"/>
  <c r="N504" i="5"/>
  <c r="P504" i="5"/>
  <c r="N494" i="5"/>
  <c r="P494" i="5"/>
  <c r="N442" i="5"/>
  <c r="P442" i="5"/>
  <c r="N421" i="5"/>
  <c r="N399" i="5"/>
  <c r="P399" i="5"/>
  <c r="N337" i="5"/>
  <c r="P337" i="5"/>
  <c r="N316" i="5"/>
  <c r="P316" i="5"/>
  <c r="N235" i="5"/>
  <c r="P235" i="5"/>
  <c r="N204" i="5"/>
  <c r="P204" i="5"/>
  <c r="N91" i="5"/>
  <c r="P91" i="5"/>
  <c r="N21" i="5"/>
  <c r="P21" i="5"/>
  <c r="H548" i="5"/>
  <c r="P649" i="5"/>
  <c r="P369" i="5"/>
  <c r="P297" i="5"/>
  <c r="N236" i="5"/>
  <c r="H211" i="5"/>
  <c r="P484" i="5"/>
  <c r="H694" i="5"/>
  <c r="H602" i="5"/>
  <c r="H452" i="5"/>
  <c r="H361" i="5"/>
  <c r="H284" i="5"/>
  <c r="H117" i="5"/>
  <c r="H26" i="5"/>
  <c r="L550" i="5"/>
  <c r="L483" i="5"/>
  <c r="L324" i="5"/>
  <c r="N739" i="5"/>
  <c r="P739" i="5"/>
  <c r="N729" i="5"/>
  <c r="P729" i="5"/>
  <c r="P699" i="5"/>
  <c r="N669" i="5"/>
  <c r="P669" i="5"/>
  <c r="N525" i="5"/>
  <c r="P525" i="5"/>
  <c r="P514" i="5"/>
  <c r="N453" i="5"/>
  <c r="P453" i="5"/>
  <c r="N409" i="5"/>
  <c r="P409" i="5"/>
  <c r="N388" i="5"/>
  <c r="P295" i="5"/>
  <c r="N275" i="5"/>
  <c r="P275" i="5"/>
  <c r="N245" i="5"/>
  <c r="P245" i="5"/>
  <c r="N163" i="5"/>
  <c r="P163" i="5"/>
  <c r="N153" i="5"/>
  <c r="P153" i="5"/>
  <c r="N70" i="5"/>
  <c r="P70" i="5"/>
  <c r="P195" i="5"/>
  <c r="H693" i="5"/>
  <c r="H526" i="5"/>
  <c r="H283" i="5"/>
  <c r="H193" i="5"/>
  <c r="H116" i="5"/>
  <c r="H25" i="5"/>
  <c r="L58" i="5"/>
  <c r="N719" i="5"/>
  <c r="P719" i="5"/>
  <c r="N658" i="5"/>
  <c r="P658" i="5"/>
  <c r="N564" i="5"/>
  <c r="P564" i="5"/>
  <c r="N524" i="5"/>
  <c r="P524" i="5"/>
  <c r="N493" i="5"/>
  <c r="P493" i="5"/>
  <c r="N441" i="5"/>
  <c r="P441" i="5"/>
  <c r="N420" i="5"/>
  <c r="P420" i="5"/>
  <c r="N357" i="5"/>
  <c r="P357" i="5"/>
  <c r="N326" i="5"/>
  <c r="P326" i="5"/>
  <c r="N285" i="5"/>
  <c r="P285" i="5"/>
  <c r="P121" i="5"/>
  <c r="N101" i="5"/>
  <c r="P101" i="5"/>
  <c r="N51" i="5"/>
  <c r="P51" i="5"/>
  <c r="N31" i="5"/>
  <c r="P31" i="5"/>
  <c r="N20" i="5"/>
  <c r="P20" i="5"/>
  <c r="H692" i="5"/>
  <c r="H525" i="5"/>
  <c r="H115" i="5"/>
  <c r="L730" i="5"/>
  <c r="L425" i="5"/>
  <c r="N738" i="5"/>
  <c r="P738" i="5"/>
  <c r="P708" i="5"/>
  <c r="N668" i="5"/>
  <c r="P668" i="5"/>
  <c r="N626" i="5"/>
  <c r="P626" i="5"/>
  <c r="N573" i="5"/>
  <c r="P573" i="5"/>
  <c r="N554" i="5"/>
  <c r="P554" i="5"/>
  <c r="N503" i="5"/>
  <c r="P503" i="5"/>
  <c r="N463" i="5"/>
  <c r="P463" i="5"/>
  <c r="N452" i="5"/>
  <c r="P452" i="5"/>
  <c r="N408" i="5"/>
  <c r="N387" i="5"/>
  <c r="P387" i="5"/>
  <c r="N336" i="5"/>
  <c r="P336" i="5"/>
  <c r="N315" i="5"/>
  <c r="P315" i="5"/>
  <c r="N203" i="5"/>
  <c r="P203" i="5"/>
  <c r="P192" i="5"/>
  <c r="P181" i="5"/>
  <c r="P660" i="5"/>
  <c r="H621" i="5"/>
  <c r="H356" i="5"/>
  <c r="H266" i="5"/>
  <c r="H189" i="5"/>
  <c r="H99" i="5"/>
  <c r="L549" i="5"/>
  <c r="L356" i="5"/>
  <c r="N718" i="5"/>
  <c r="P718" i="5"/>
  <c r="N689" i="5"/>
  <c r="P689" i="5"/>
  <c r="N615" i="5"/>
  <c r="P615" i="5"/>
  <c r="N492" i="5"/>
  <c r="P492" i="5"/>
  <c r="N482" i="5"/>
  <c r="P482" i="5"/>
  <c r="N419" i="5"/>
  <c r="P419" i="5"/>
  <c r="N284" i="5"/>
  <c r="P284" i="5"/>
  <c r="P273" i="5"/>
  <c r="N212" i="5"/>
  <c r="P212" i="5"/>
  <c r="P161" i="5"/>
  <c r="N152" i="5"/>
  <c r="P152" i="5"/>
  <c r="N141" i="5"/>
  <c r="P141" i="5"/>
  <c r="N69" i="5"/>
  <c r="P69" i="5"/>
  <c r="N50" i="5"/>
  <c r="N9" i="5"/>
  <c r="P9" i="5"/>
  <c r="L333" i="5"/>
  <c r="N728" i="5"/>
  <c r="P728" i="5"/>
  <c r="N646" i="5"/>
  <c r="P646" i="5"/>
  <c r="N563" i="5"/>
  <c r="P563" i="5"/>
  <c r="N553" i="5"/>
  <c r="P553" i="5"/>
  <c r="N543" i="5"/>
  <c r="P543" i="5"/>
  <c r="N533" i="5"/>
  <c r="P533" i="5"/>
  <c r="N502" i="5"/>
  <c r="N451" i="5"/>
  <c r="P451" i="5"/>
  <c r="N430" i="5"/>
  <c r="P430" i="5"/>
  <c r="N366" i="5"/>
  <c r="P366" i="5"/>
  <c r="N335" i="5"/>
  <c r="P335" i="5"/>
  <c r="N202" i="5"/>
  <c r="P202" i="5"/>
  <c r="N59" i="5"/>
  <c r="P59" i="5"/>
  <c r="P29" i="5"/>
  <c r="N19" i="5"/>
  <c r="P19" i="5"/>
  <c r="H597" i="5"/>
  <c r="H187" i="5"/>
  <c r="H97" i="5"/>
  <c r="L707" i="5"/>
  <c r="L458" i="5"/>
  <c r="L299" i="5"/>
  <c r="L208" i="5"/>
  <c r="N717" i="5"/>
  <c r="P717" i="5"/>
  <c r="N677" i="5"/>
  <c r="P677" i="5"/>
  <c r="P624" i="5"/>
  <c r="N572" i="5"/>
  <c r="P572" i="5"/>
  <c r="N491" i="5"/>
  <c r="P491" i="5"/>
  <c r="N418" i="5"/>
  <c r="P418" i="5"/>
  <c r="N386" i="5"/>
  <c r="P386" i="5"/>
  <c r="P365" i="5"/>
  <c r="N314" i="5"/>
  <c r="P314" i="5"/>
  <c r="N283" i="5"/>
  <c r="P283" i="5"/>
  <c r="N243" i="5"/>
  <c r="P243" i="5"/>
  <c r="N191" i="5"/>
  <c r="P191" i="5"/>
  <c r="N171" i="5"/>
  <c r="P171" i="5"/>
  <c r="N68" i="5"/>
  <c r="P68" i="5"/>
  <c r="N39" i="5"/>
  <c r="P39" i="5"/>
  <c r="P338" i="5"/>
  <c r="N92" i="5"/>
  <c r="P92" i="5"/>
  <c r="P628" i="5"/>
  <c r="H188" i="5"/>
  <c r="H2" i="5"/>
  <c r="H745" i="5"/>
  <c r="H596" i="5"/>
  <c r="H429" i="5"/>
  <c r="H261" i="5"/>
  <c r="H96" i="5"/>
  <c r="L548" i="5"/>
  <c r="L67" i="5"/>
  <c r="N747" i="5"/>
  <c r="P747" i="5"/>
  <c r="N727" i="5"/>
  <c r="P727" i="5"/>
  <c r="N645" i="5"/>
  <c r="P645" i="5"/>
  <c r="N562" i="5"/>
  <c r="P562" i="5"/>
  <c r="N501" i="5"/>
  <c r="P501" i="5"/>
  <c r="N461" i="5"/>
  <c r="P461" i="5"/>
  <c r="P417" i="5"/>
  <c r="N355" i="5"/>
  <c r="P355" i="5"/>
  <c r="N263" i="5"/>
  <c r="P263" i="5"/>
  <c r="N201" i="5"/>
  <c r="P201" i="5"/>
  <c r="N180" i="5"/>
  <c r="P180" i="5"/>
  <c r="P516" i="5"/>
  <c r="P215" i="5"/>
  <c r="H19" i="5"/>
  <c r="H744" i="5"/>
  <c r="H578" i="5"/>
  <c r="H428" i="5"/>
  <c r="H260" i="5"/>
  <c r="H170" i="5"/>
  <c r="L558" i="5"/>
  <c r="L491" i="5"/>
  <c r="N687" i="5"/>
  <c r="P687" i="5"/>
  <c r="N676" i="5"/>
  <c r="P676" i="5"/>
  <c r="N592" i="5"/>
  <c r="P592" i="5"/>
  <c r="N552" i="5"/>
  <c r="P552" i="5"/>
  <c r="N532" i="5"/>
  <c r="P532" i="5"/>
  <c r="N511" i="5"/>
  <c r="P511" i="5"/>
  <c r="N406" i="5"/>
  <c r="P406" i="5"/>
  <c r="N385" i="5"/>
  <c r="P385" i="5"/>
  <c r="N375" i="5"/>
  <c r="P375" i="5"/>
  <c r="P323" i="5"/>
  <c r="N313" i="5"/>
  <c r="P313" i="5"/>
  <c r="N282" i="5"/>
  <c r="P282" i="5"/>
  <c r="P139" i="5"/>
  <c r="N109" i="5"/>
  <c r="P109" i="5"/>
  <c r="N67" i="5"/>
  <c r="P67" i="5"/>
  <c r="N38" i="5"/>
  <c r="P38" i="5"/>
  <c r="P505" i="5"/>
  <c r="P701" i="5"/>
  <c r="H743" i="5"/>
  <c r="H577" i="5"/>
  <c r="H259" i="5"/>
  <c r="H169" i="5"/>
  <c r="L2" i="5"/>
  <c r="L683" i="5"/>
  <c r="L241" i="5"/>
  <c r="N726" i="5"/>
  <c r="P726" i="5"/>
  <c r="N655" i="5"/>
  <c r="N634" i="5"/>
  <c r="P634" i="5"/>
  <c r="N561" i="5"/>
  <c r="P561" i="5"/>
  <c r="N500" i="5"/>
  <c r="N490" i="5"/>
  <c r="P490" i="5"/>
  <c r="N449" i="5"/>
  <c r="P449" i="5"/>
  <c r="N428" i="5"/>
  <c r="P428" i="5"/>
  <c r="N364" i="5"/>
  <c r="P364" i="5"/>
  <c r="N354" i="5"/>
  <c r="N333" i="5"/>
  <c r="P333" i="5"/>
  <c r="N231" i="5"/>
  <c r="P231" i="5"/>
  <c r="N200" i="5"/>
  <c r="P200" i="5"/>
  <c r="P443" i="5"/>
  <c r="H355" i="5"/>
  <c r="H742" i="5"/>
  <c r="H168" i="5"/>
  <c r="H75" i="5"/>
  <c r="L738" i="5"/>
  <c r="L331" i="5"/>
  <c r="N746" i="5"/>
  <c r="P746" i="5"/>
  <c r="P715" i="5"/>
  <c r="N686" i="5"/>
  <c r="P686" i="5"/>
  <c r="N644" i="5"/>
  <c r="P644" i="5"/>
  <c r="N551" i="5"/>
  <c r="P551" i="5"/>
  <c r="N460" i="5"/>
  <c r="P460" i="5"/>
  <c r="P394" i="5"/>
  <c r="N374" i="5"/>
  <c r="P374" i="5"/>
  <c r="N241" i="5"/>
  <c r="P241" i="5"/>
  <c r="N118" i="5"/>
  <c r="P118" i="5"/>
  <c r="N108" i="5"/>
  <c r="P108" i="5"/>
  <c r="N97" i="5"/>
  <c r="P97" i="5"/>
  <c r="N87" i="5"/>
  <c r="P87" i="5"/>
  <c r="N77" i="5"/>
  <c r="P77" i="5"/>
  <c r="N37" i="5"/>
  <c r="P37" i="5"/>
  <c r="N7" i="5"/>
  <c r="P7" i="5"/>
  <c r="P205" i="5"/>
  <c r="N591" i="5"/>
  <c r="P591" i="5"/>
  <c r="N560" i="5"/>
  <c r="P560" i="5"/>
  <c r="N521" i="5"/>
  <c r="P521" i="5"/>
  <c r="N489" i="5"/>
  <c r="P489" i="5"/>
  <c r="P437" i="5"/>
  <c r="N427" i="5"/>
  <c r="P427" i="5"/>
  <c r="N405" i="5"/>
  <c r="P405" i="5"/>
  <c r="N332" i="5"/>
  <c r="P332" i="5"/>
  <c r="N312" i="5"/>
  <c r="P312" i="5"/>
  <c r="N251" i="5"/>
  <c r="P251" i="5"/>
  <c r="P721" i="5"/>
  <c r="P411" i="5"/>
  <c r="P225" i="5"/>
  <c r="H740" i="5"/>
  <c r="H331" i="5"/>
  <c r="L341" i="5"/>
  <c r="N685" i="5"/>
  <c r="P685" i="5"/>
  <c r="P653" i="5"/>
  <c r="N633" i="5"/>
  <c r="P633" i="5"/>
  <c r="N611" i="5"/>
  <c r="P611" i="5"/>
  <c r="N600" i="5"/>
  <c r="P600" i="5"/>
  <c r="N383" i="5"/>
  <c r="P383" i="5"/>
  <c r="N373" i="5"/>
  <c r="P373" i="5"/>
  <c r="N219" i="5"/>
  <c r="P219" i="5"/>
  <c r="N199" i="5"/>
  <c r="P199" i="5"/>
  <c r="N158" i="5"/>
  <c r="P158" i="5"/>
  <c r="P148" i="5"/>
  <c r="N107" i="5"/>
  <c r="P107" i="5"/>
  <c r="N86" i="5"/>
  <c r="P86" i="5"/>
  <c r="H379" i="5"/>
  <c r="H739" i="5"/>
  <c r="L714" i="5"/>
  <c r="L500" i="5"/>
  <c r="N756" i="5"/>
  <c r="P756" i="5"/>
  <c r="P684" i="5"/>
  <c r="N643" i="5"/>
  <c r="P643" i="5"/>
  <c r="N590" i="5"/>
  <c r="P590" i="5"/>
  <c r="P549" i="5"/>
  <c r="N488" i="5"/>
  <c r="P488" i="5"/>
  <c r="N478" i="5"/>
  <c r="N447" i="5"/>
  <c r="P447" i="5"/>
  <c r="N404" i="5"/>
  <c r="P404" i="5"/>
  <c r="N311" i="5"/>
  <c r="P311" i="5"/>
  <c r="N301" i="5"/>
  <c r="P301" i="5"/>
  <c r="N250" i="5"/>
  <c r="P250" i="5"/>
  <c r="P75" i="5"/>
  <c r="N46" i="5"/>
  <c r="P46" i="5"/>
  <c r="N36" i="5"/>
  <c r="P36" i="5"/>
  <c r="P5" i="5"/>
  <c r="P705" i="5"/>
  <c r="H147" i="5"/>
  <c r="N755" i="5"/>
  <c r="P755" i="5"/>
  <c r="N632" i="5"/>
  <c r="P632" i="5"/>
  <c r="N621" i="5"/>
  <c r="P621" i="5"/>
  <c r="P578" i="5"/>
  <c r="N559" i="5"/>
  <c r="P559" i="5"/>
  <c r="P529" i="5"/>
  <c r="N393" i="5"/>
  <c r="P393" i="5"/>
  <c r="N382" i="5"/>
  <c r="P382" i="5"/>
  <c r="N341" i="5"/>
  <c r="P341" i="5"/>
  <c r="P300" i="5"/>
  <c r="N260" i="5"/>
  <c r="P260" i="5"/>
  <c r="N218" i="5"/>
  <c r="P218" i="5"/>
  <c r="N157" i="5"/>
  <c r="P157" i="5"/>
  <c r="N106" i="5"/>
  <c r="P106" i="5"/>
  <c r="N85" i="5"/>
  <c r="P85" i="5"/>
  <c r="H146" i="5"/>
  <c r="L533" i="5"/>
  <c r="N724" i="5"/>
  <c r="P724" i="5"/>
  <c r="N694" i="5"/>
  <c r="P694" i="5"/>
  <c r="N663" i="5"/>
  <c r="P663" i="5"/>
  <c r="N642" i="5"/>
  <c r="N589" i="5"/>
  <c r="P589" i="5"/>
  <c r="P548" i="5"/>
  <c r="N519" i="5"/>
  <c r="P519" i="5"/>
  <c r="N477" i="5"/>
  <c r="P477" i="5"/>
  <c r="N351" i="5"/>
  <c r="P351" i="5"/>
  <c r="P330" i="5"/>
  <c r="N279" i="5"/>
  <c r="P279" i="5"/>
  <c r="P4" i="5"/>
  <c r="H145" i="5"/>
  <c r="L691" i="5"/>
  <c r="L249" i="5"/>
  <c r="N723" i="5"/>
  <c r="P723" i="5"/>
  <c r="N631" i="5"/>
  <c r="P631" i="5"/>
  <c r="N620" i="5"/>
  <c r="P620" i="5"/>
  <c r="P577" i="5"/>
  <c r="N487" i="5"/>
  <c r="P487" i="5"/>
  <c r="N425" i="5"/>
  <c r="P425" i="5"/>
  <c r="N381" i="5"/>
  <c r="P381" i="5"/>
  <c r="N249" i="5"/>
  <c r="P249" i="5"/>
  <c r="N239" i="5"/>
  <c r="P239" i="5"/>
  <c r="N197" i="5"/>
  <c r="P197" i="5"/>
  <c r="N167" i="5"/>
  <c r="P167" i="5"/>
  <c r="N55" i="5"/>
  <c r="P55" i="5"/>
  <c r="N35" i="5"/>
  <c r="P35" i="5"/>
  <c r="P24" i="5"/>
  <c r="P607" i="5"/>
  <c r="P474" i="5"/>
  <c r="L308" i="5"/>
  <c r="H309" i="5"/>
  <c r="N754" i="5"/>
  <c r="P754" i="5"/>
  <c r="N733" i="5"/>
  <c r="P733" i="5"/>
  <c r="N609" i="5"/>
  <c r="P609" i="5"/>
  <c r="N588" i="5"/>
  <c r="P588" i="5"/>
  <c r="N518" i="5"/>
  <c r="P518" i="5"/>
  <c r="N497" i="5"/>
  <c r="P497" i="5"/>
  <c r="P402" i="5"/>
  <c r="N350" i="5"/>
  <c r="P350" i="5"/>
  <c r="N319" i="5"/>
  <c r="P319" i="5"/>
  <c r="N278" i="5"/>
  <c r="P278" i="5"/>
  <c r="N207" i="5"/>
  <c r="P207" i="5"/>
  <c r="N156" i="5"/>
  <c r="P156" i="5"/>
  <c r="N105" i="5"/>
  <c r="P105" i="5"/>
  <c r="N94" i="5"/>
  <c r="P94" i="5"/>
  <c r="N14" i="5"/>
  <c r="P236" i="5"/>
  <c r="P566" i="5"/>
  <c r="H476" i="5"/>
  <c r="L633" i="5"/>
  <c r="N693" i="5"/>
  <c r="P693" i="5"/>
  <c r="P661" i="5"/>
  <c r="N557" i="5"/>
  <c r="P557" i="5"/>
  <c r="N391" i="5"/>
  <c r="P391" i="5"/>
  <c r="N309" i="5"/>
  <c r="P309" i="5"/>
  <c r="N248" i="5"/>
  <c r="P248" i="5"/>
  <c r="P216" i="5"/>
  <c r="N34" i="5"/>
  <c r="P34" i="5"/>
  <c r="P325" i="5"/>
  <c r="P655" i="5"/>
  <c r="P616" i="5"/>
  <c r="P433" i="5"/>
  <c r="P334" i="5"/>
  <c r="P270" i="5"/>
  <c r="P214" i="5"/>
  <c r="P177" i="5"/>
  <c r="P150" i="5"/>
  <c r="P48" i="5"/>
  <c r="P534" i="5"/>
  <c r="P478" i="5"/>
  <c r="P606" i="5"/>
  <c r="P296" i="5"/>
  <c r="P233" i="5"/>
  <c r="P672" i="5"/>
  <c r="P496" i="5"/>
  <c r="P342" i="5"/>
  <c r="P242" i="5"/>
  <c r="P232" i="5"/>
  <c r="P120" i="5"/>
  <c r="P413" i="5"/>
  <c r="P93" i="5"/>
  <c r="P450" i="5"/>
  <c r="P422" i="5"/>
  <c r="P680" i="5"/>
  <c r="P550" i="5"/>
  <c r="P304" i="5"/>
  <c r="P110" i="5"/>
  <c r="P742" i="5"/>
  <c r="P614" i="5"/>
  <c r="P750" i="5"/>
  <c r="P642" i="5"/>
  <c r="P613" i="5"/>
  <c r="P513" i="5"/>
  <c r="P458" i="5"/>
  <c r="P421" i="5"/>
  <c r="P384" i="5"/>
  <c r="P358" i="5"/>
  <c r="P294" i="5"/>
  <c r="P759" i="5"/>
  <c r="P740" i="5"/>
  <c r="P731" i="5"/>
  <c r="P641" i="5"/>
  <c r="P558" i="5"/>
  <c r="P448" i="5"/>
  <c r="P174" i="5"/>
  <c r="P128" i="5"/>
  <c r="P605" i="5"/>
  <c r="P584" i="5"/>
  <c r="P392" i="5"/>
  <c r="P751" i="5"/>
  <c r="P321" i="5"/>
  <c r="P81" i="5"/>
  <c r="P696" i="5"/>
  <c r="P678" i="5"/>
  <c r="P574" i="5"/>
  <c r="P565" i="5"/>
  <c r="P530" i="5"/>
  <c r="P502" i="5"/>
  <c r="P438" i="5"/>
  <c r="P302" i="5"/>
  <c r="P266" i="5"/>
  <c r="P229" i="5"/>
  <c r="P62" i="5"/>
  <c r="P704" i="5"/>
  <c r="P538" i="5"/>
  <c r="P446" i="5"/>
  <c r="P310" i="5"/>
  <c r="P116" i="5"/>
  <c r="P144" i="5"/>
  <c r="P98" i="5"/>
  <c r="P546" i="5"/>
  <c r="P500" i="5"/>
  <c r="P346" i="5"/>
  <c r="P246" i="5"/>
  <c r="P190" i="5"/>
  <c r="P14" i="5"/>
  <c r="P454" i="5"/>
  <c r="P398" i="5"/>
  <c r="P354" i="5"/>
  <c r="P318" i="5"/>
  <c r="P189" i="5"/>
  <c r="P124" i="5"/>
  <c r="P78" i="5"/>
  <c r="P32" i="5"/>
  <c r="P13" i="5"/>
  <c r="P666" i="5"/>
  <c r="P647" i="5"/>
  <c r="P508" i="5"/>
  <c r="P444" i="5"/>
  <c r="P308" i="5"/>
  <c r="P254" i="5"/>
  <c r="P198" i="5"/>
  <c r="P133" i="5"/>
  <c r="P41" i="5"/>
  <c r="P22" i="5"/>
  <c r="P638" i="5"/>
  <c r="P509" i="5"/>
  <c r="P711" i="5"/>
  <c r="P480" i="5"/>
  <c r="P388" i="5"/>
  <c r="P317" i="5"/>
  <c r="P298" i="5"/>
  <c r="P142" i="5"/>
  <c r="P712" i="5"/>
  <c r="P408" i="5"/>
  <c r="P10" i="5"/>
  <c r="P662" i="5"/>
  <c r="P670" i="5"/>
  <c r="P210" i="5"/>
  <c r="P114" i="5"/>
  <c r="P18" i="5"/>
  <c r="P122" i="5"/>
  <c r="P26" i="5"/>
  <c r="P226" i="5"/>
  <c r="P130" i="5"/>
  <c r="P138" i="5"/>
  <c r="P42" i="5"/>
  <c r="P146" i="5"/>
  <c r="P50" i="5"/>
  <c r="P154" i="5"/>
  <c r="P58" i="5"/>
  <c r="P162" i="5"/>
  <c r="P66" i="5"/>
  <c r="P170" i="5"/>
  <c r="P74" i="5"/>
  <c r="P178" i="5"/>
  <c r="P82" i="5"/>
  <c r="P186" i="5"/>
  <c r="P90" i="5"/>
  <c r="H761" i="5"/>
  <c r="L761" i="5"/>
  <c r="H666" i="5"/>
  <c r="L666" i="5"/>
  <c r="L570" i="5"/>
  <c r="H570" i="5"/>
  <c r="H474" i="5"/>
  <c r="L474" i="5"/>
  <c r="L329" i="5"/>
  <c r="H329" i="5"/>
  <c r="L113" i="5"/>
  <c r="H113" i="5"/>
  <c r="L618" i="5"/>
  <c r="H618" i="5"/>
  <c r="L522" i="5"/>
  <c r="H522" i="5"/>
  <c r="L426" i="5"/>
  <c r="H426" i="5"/>
  <c r="L305" i="5"/>
  <c r="H305" i="5"/>
  <c r="L137" i="5"/>
  <c r="H137" i="5"/>
  <c r="H737" i="5"/>
  <c r="L737" i="5"/>
  <c r="H690" i="5"/>
  <c r="L690" i="5"/>
  <c r="H642" i="5"/>
  <c r="L594" i="5"/>
  <c r="H594" i="5"/>
  <c r="L546" i="5"/>
  <c r="H546" i="5"/>
  <c r="H498" i="5"/>
  <c r="L498" i="5"/>
  <c r="L450" i="5"/>
  <c r="H450" i="5"/>
  <c r="L402" i="5"/>
  <c r="H402" i="5"/>
  <c r="L377" i="5"/>
  <c r="H377" i="5"/>
  <c r="L353" i="5"/>
  <c r="H353" i="5"/>
  <c r="H281" i="5"/>
  <c r="L281" i="5"/>
  <c r="H257" i="5"/>
  <c r="L257" i="5"/>
  <c r="L233" i="5"/>
  <c r="H233" i="5"/>
  <c r="L209" i="5"/>
  <c r="H209" i="5"/>
  <c r="L185" i="5"/>
  <c r="H185" i="5"/>
  <c r="L161" i="5"/>
  <c r="H161" i="5"/>
  <c r="L89" i="5"/>
  <c r="H89" i="5"/>
  <c r="H65" i="5"/>
  <c r="L65" i="5"/>
  <c r="L41" i="5"/>
  <c r="H41" i="5"/>
  <c r="L17" i="5"/>
  <c r="H17" i="5"/>
  <c r="H760" i="5"/>
  <c r="L760" i="5"/>
  <c r="L327" i="5"/>
  <c r="L114" i="5"/>
  <c r="L90" i="5"/>
  <c r="H746" i="5"/>
  <c r="H722" i="5"/>
  <c r="H699" i="5"/>
  <c r="H675" i="5"/>
  <c r="H651" i="5"/>
  <c r="H627" i="5"/>
  <c r="H603" i="5"/>
  <c r="H579" i="5"/>
  <c r="H555" i="5"/>
  <c r="H531" i="5"/>
  <c r="H507" i="5"/>
  <c r="H483" i="5"/>
  <c r="H459" i="5"/>
  <c r="H435" i="5"/>
  <c r="H411" i="5"/>
  <c r="H3" i="5"/>
  <c r="L659" i="5"/>
  <c r="L634" i="5"/>
  <c r="L609" i="5"/>
  <c r="L584" i="5"/>
  <c r="L542" i="5"/>
  <c r="L517" i="5"/>
  <c r="L492" i="5"/>
  <c r="L467" i="5"/>
  <c r="L442" i="5"/>
  <c r="L417" i="5"/>
  <c r="L392" i="5"/>
  <c r="L350" i="5"/>
  <c r="L325" i="5"/>
  <c r="L300" i="5"/>
  <c r="L275" i="5"/>
  <c r="L250" i="5"/>
  <c r="L225" i="5"/>
  <c r="L200" i="5"/>
  <c r="L88" i="5"/>
  <c r="L49" i="5"/>
  <c r="L10" i="5"/>
  <c r="L134" i="5"/>
  <c r="L110" i="5"/>
  <c r="L62" i="5"/>
  <c r="H143" i="5"/>
  <c r="H119" i="5"/>
  <c r="H95" i="5"/>
  <c r="H71" i="5"/>
  <c r="H47" i="5"/>
  <c r="L753" i="5"/>
  <c r="L745" i="5"/>
  <c r="L729" i="5"/>
  <c r="L721" i="5"/>
  <c r="L706" i="5"/>
  <c r="L698" i="5"/>
  <c r="L682" i="5"/>
  <c r="L674" i="5"/>
  <c r="L641" i="5"/>
  <c r="L616" i="5"/>
  <c r="L574" i="5"/>
  <c r="L524" i="5"/>
  <c r="L499" i="5"/>
  <c r="L449" i="5"/>
  <c r="L424" i="5"/>
  <c r="L382" i="5"/>
  <c r="L357" i="5"/>
  <c r="L332" i="5"/>
  <c r="L307" i="5"/>
  <c r="L282" i="5"/>
  <c r="L232" i="5"/>
  <c r="L190" i="5"/>
  <c r="L173" i="5"/>
  <c r="L154" i="5"/>
  <c r="L106" i="5"/>
  <c r="L57" i="5"/>
  <c r="L18" i="5"/>
  <c r="L133" i="5"/>
  <c r="L61" i="5"/>
  <c r="L13" i="5"/>
  <c r="H358" i="5"/>
  <c r="H334" i="5"/>
  <c r="H310" i="5"/>
  <c r="H286" i="5"/>
  <c r="H262" i="5"/>
  <c r="H238" i="5"/>
  <c r="H214" i="5"/>
  <c r="H190" i="5"/>
  <c r="H166" i="5"/>
  <c r="H142" i="5"/>
  <c r="L649" i="5"/>
  <c r="L624" i="5"/>
  <c r="L582" i="5"/>
  <c r="L557" i="5"/>
  <c r="L532" i="5"/>
  <c r="L507" i="5"/>
  <c r="L482" i="5"/>
  <c r="L457" i="5"/>
  <c r="L432" i="5"/>
  <c r="L390" i="5"/>
  <c r="L365" i="5"/>
  <c r="L340" i="5"/>
  <c r="L315" i="5"/>
  <c r="L290" i="5"/>
  <c r="L265" i="5"/>
  <c r="L240" i="5"/>
  <c r="L198" i="5"/>
  <c r="L115" i="5"/>
  <c r="L303" i="5"/>
  <c r="L132" i="5"/>
  <c r="L84" i="5"/>
  <c r="L60" i="5"/>
  <c r="L12" i="5"/>
  <c r="L657" i="5"/>
  <c r="L632" i="5"/>
  <c r="L590" i="5"/>
  <c r="L565" i="5"/>
  <c r="L540" i="5"/>
  <c r="L515" i="5"/>
  <c r="L490" i="5"/>
  <c r="L465" i="5"/>
  <c r="L440" i="5"/>
  <c r="L398" i="5"/>
  <c r="L373" i="5"/>
  <c r="L348" i="5"/>
  <c r="L323" i="5"/>
  <c r="L298" i="5"/>
  <c r="L273" i="5"/>
  <c r="L248" i="5"/>
  <c r="L206" i="5"/>
  <c r="L181" i="5"/>
  <c r="L163" i="5"/>
  <c r="L66" i="5"/>
  <c r="L47" i="5"/>
  <c r="L27" i="5"/>
  <c r="L63" i="5"/>
  <c r="L752" i="5"/>
  <c r="L744" i="5"/>
  <c r="L736" i="5"/>
  <c r="L728" i="5"/>
  <c r="L720" i="5"/>
  <c r="L713" i="5"/>
  <c r="L705" i="5"/>
  <c r="L697" i="5"/>
  <c r="L689" i="5"/>
  <c r="L681" i="5"/>
  <c r="L673" i="5"/>
  <c r="L665" i="5"/>
  <c r="L640" i="5"/>
  <c r="L598" i="5"/>
  <c r="L523" i="5"/>
  <c r="L473" i="5"/>
  <c r="L448" i="5"/>
  <c r="L406" i="5"/>
  <c r="L306" i="5"/>
  <c r="L256" i="5"/>
  <c r="L214" i="5"/>
  <c r="L189" i="5"/>
  <c r="L143" i="5"/>
  <c r="L95" i="5"/>
  <c r="L75" i="5"/>
  <c r="L56" i="5"/>
  <c r="H714" i="5"/>
  <c r="H667" i="5"/>
  <c r="H643" i="5"/>
  <c r="H619" i="5"/>
  <c r="H595" i="5"/>
  <c r="H571" i="5"/>
  <c r="H547" i="5"/>
  <c r="H523" i="5"/>
  <c r="H499" i="5"/>
  <c r="H475" i="5"/>
  <c r="H451" i="5"/>
  <c r="H427" i="5"/>
  <c r="H403" i="5"/>
  <c r="L648" i="5"/>
  <c r="L606" i="5"/>
  <c r="L581" i="5"/>
  <c r="L556" i="5"/>
  <c r="L531" i="5"/>
  <c r="L506" i="5"/>
  <c r="L481" i="5"/>
  <c r="L456" i="5"/>
  <c r="L414" i="5"/>
  <c r="L389" i="5"/>
  <c r="L364" i="5"/>
  <c r="L339" i="5"/>
  <c r="L314" i="5"/>
  <c r="L289" i="5"/>
  <c r="L264" i="5"/>
  <c r="L222" i="5"/>
  <c r="L197" i="5"/>
  <c r="L7" i="5"/>
  <c r="L255" i="5"/>
  <c r="H378" i="5"/>
  <c r="H354" i="5"/>
  <c r="H330" i="5"/>
  <c r="H306" i="5"/>
  <c r="H258" i="5"/>
  <c r="H234" i="5"/>
  <c r="H210" i="5"/>
  <c r="H186" i="5"/>
  <c r="H162" i="5"/>
  <c r="H138" i="5"/>
  <c r="H114" i="5"/>
  <c r="H90" i="5"/>
  <c r="H66" i="5"/>
  <c r="H42" i="5"/>
  <c r="H18" i="5"/>
  <c r="L656" i="5"/>
  <c r="L614" i="5"/>
  <c r="L589" i="5"/>
  <c r="L564" i="5"/>
  <c r="L539" i="5"/>
  <c r="L514" i="5"/>
  <c r="L489" i="5"/>
  <c r="L464" i="5"/>
  <c r="L422" i="5"/>
  <c r="L397" i="5"/>
  <c r="L372" i="5"/>
  <c r="L347" i="5"/>
  <c r="L322" i="5"/>
  <c r="L297" i="5"/>
  <c r="L272" i="5"/>
  <c r="L230" i="5"/>
  <c r="L205" i="5"/>
  <c r="L180" i="5"/>
  <c r="L171" i="5"/>
  <c r="L162" i="5"/>
  <c r="L104" i="5"/>
  <c r="L16" i="5"/>
  <c r="L8" i="5"/>
  <c r="H736" i="5"/>
  <c r="H713" i="5"/>
  <c r="H665" i="5"/>
  <c r="H641" i="5"/>
  <c r="H617" i="5"/>
  <c r="H593" i="5"/>
  <c r="H569" i="5"/>
  <c r="H545" i="5"/>
  <c r="H521" i="5"/>
  <c r="H497" i="5"/>
  <c r="H473" i="5"/>
  <c r="H401" i="5"/>
  <c r="L759" i="5"/>
  <c r="L751" i="5"/>
  <c r="L743" i="5"/>
  <c r="L735" i="5"/>
  <c r="L727" i="5"/>
  <c r="L719" i="5"/>
  <c r="L712" i="5"/>
  <c r="L704" i="5"/>
  <c r="L696" i="5"/>
  <c r="L688" i="5"/>
  <c r="L680" i="5"/>
  <c r="L672" i="5"/>
  <c r="L664" i="5"/>
  <c r="L622" i="5"/>
  <c r="L597" i="5"/>
  <c r="L572" i="5"/>
  <c r="L547" i="5"/>
  <c r="L472" i="5"/>
  <c r="L430" i="5"/>
  <c r="L405" i="5"/>
  <c r="L380" i="5"/>
  <c r="L330" i="5"/>
  <c r="L280" i="5"/>
  <c r="L238" i="5"/>
  <c r="L213" i="5"/>
  <c r="L188" i="5"/>
  <c r="L142" i="5"/>
  <c r="L74" i="5"/>
  <c r="L55" i="5"/>
  <c r="L160" i="5"/>
  <c r="L135" i="5"/>
  <c r="L471" i="5"/>
  <c r="L367" i="5"/>
  <c r="L343" i="5"/>
  <c r="L295" i="5"/>
  <c r="L271" i="5"/>
  <c r="L223" i="5"/>
  <c r="L175" i="5"/>
  <c r="L127" i="5"/>
  <c r="H759" i="5"/>
  <c r="H735" i="5"/>
  <c r="H712" i="5"/>
  <c r="H688" i="5"/>
  <c r="H664" i="5"/>
  <c r="H640" i="5"/>
  <c r="H616" i="5"/>
  <c r="H592" i="5"/>
  <c r="H568" i="5"/>
  <c r="H544" i="5"/>
  <c r="H520" i="5"/>
  <c r="H496" i="5"/>
  <c r="H472" i="5"/>
  <c r="H448" i="5"/>
  <c r="H424" i="5"/>
  <c r="H400" i="5"/>
  <c r="H376" i="5"/>
  <c r="H352" i="5"/>
  <c r="H328" i="5"/>
  <c r="H304" i="5"/>
  <c r="H280" i="5"/>
  <c r="H256" i="5"/>
  <c r="H232" i="5"/>
  <c r="H208" i="5"/>
  <c r="H184" i="5"/>
  <c r="H160" i="5"/>
  <c r="H136" i="5"/>
  <c r="H112" i="5"/>
  <c r="H88" i="5"/>
  <c r="H64" i="5"/>
  <c r="H40" i="5"/>
  <c r="H16" i="5"/>
  <c r="L630" i="5"/>
  <c r="L605" i="5"/>
  <c r="L580" i="5"/>
  <c r="L555" i="5"/>
  <c r="L530" i="5"/>
  <c r="L505" i="5"/>
  <c r="L480" i="5"/>
  <c r="L438" i="5"/>
  <c r="L413" i="5"/>
  <c r="L388" i="5"/>
  <c r="L363" i="5"/>
  <c r="L338" i="5"/>
  <c r="L313" i="5"/>
  <c r="L288" i="5"/>
  <c r="L246" i="5"/>
  <c r="L221" i="5"/>
  <c r="L196" i="5"/>
  <c r="L151" i="5"/>
  <c r="L122" i="5"/>
  <c r="L83" i="5"/>
  <c r="L25" i="5"/>
  <c r="L183" i="5"/>
  <c r="L607" i="5"/>
  <c r="L583" i="5"/>
  <c r="L535" i="5"/>
  <c r="L439" i="5"/>
  <c r="L415" i="5"/>
  <c r="L150" i="5"/>
  <c r="L126" i="5"/>
  <c r="L102" i="5"/>
  <c r="L78" i="5"/>
  <c r="L54" i="5"/>
  <c r="L30" i="5"/>
  <c r="L6" i="5"/>
  <c r="H758" i="5"/>
  <c r="H734" i="5"/>
  <c r="H711" i="5"/>
  <c r="H687" i="5"/>
  <c r="H663" i="5"/>
  <c r="H639" i="5"/>
  <c r="H591" i="5"/>
  <c r="H519" i="5"/>
  <c r="H495" i="5"/>
  <c r="H471" i="5"/>
  <c r="H423" i="5"/>
  <c r="H351" i="5"/>
  <c r="H327" i="5"/>
  <c r="H303" i="5"/>
  <c r="H279" i="5"/>
  <c r="H255" i="5"/>
  <c r="H183" i="5"/>
  <c r="H159" i="5"/>
  <c r="H135" i="5"/>
  <c r="H111" i="5"/>
  <c r="H63" i="5"/>
  <c r="H39" i="5"/>
  <c r="H15" i="5"/>
  <c r="L638" i="5"/>
  <c r="L613" i="5"/>
  <c r="L588" i="5"/>
  <c r="L563" i="5"/>
  <c r="L538" i="5"/>
  <c r="L513" i="5"/>
  <c r="L488" i="5"/>
  <c r="L446" i="5"/>
  <c r="L421" i="5"/>
  <c r="L396" i="5"/>
  <c r="L371" i="5"/>
  <c r="L346" i="5"/>
  <c r="L321" i="5"/>
  <c r="L296" i="5"/>
  <c r="L254" i="5"/>
  <c r="L229" i="5"/>
  <c r="L204" i="5"/>
  <c r="L179" i="5"/>
  <c r="L170" i="5"/>
  <c r="L103" i="5"/>
  <c r="L64" i="5"/>
  <c r="L15" i="5"/>
  <c r="L231" i="5"/>
  <c r="L177" i="5"/>
  <c r="L81" i="5"/>
  <c r="L149" i="5"/>
  <c r="L125" i="5"/>
  <c r="L53" i="5"/>
  <c r="L29" i="5"/>
  <c r="L5" i="5"/>
  <c r="H757" i="5"/>
  <c r="H733" i="5"/>
  <c r="H710" i="5"/>
  <c r="H686" i="5"/>
  <c r="H662" i="5"/>
  <c r="H638" i="5"/>
  <c r="H614" i="5"/>
  <c r="H566" i="5"/>
  <c r="H542" i="5"/>
  <c r="H518" i="5"/>
  <c r="H494" i="5"/>
  <c r="H470" i="5"/>
  <c r="H446" i="5"/>
  <c r="H398" i="5"/>
  <c r="H374" i="5"/>
  <c r="H326" i="5"/>
  <c r="H302" i="5"/>
  <c r="H278" i="5"/>
  <c r="H254" i="5"/>
  <c r="H230" i="5"/>
  <c r="H182" i="5"/>
  <c r="H158" i="5"/>
  <c r="H134" i="5"/>
  <c r="H110" i="5"/>
  <c r="H86" i="5"/>
  <c r="H62" i="5"/>
  <c r="H38" i="5"/>
  <c r="H14" i="5"/>
  <c r="L758" i="5"/>
  <c r="L750" i="5"/>
  <c r="L742" i="5"/>
  <c r="L734" i="5"/>
  <c r="L726" i="5"/>
  <c r="L718" i="5"/>
  <c r="L711" i="5"/>
  <c r="L703" i="5"/>
  <c r="L695" i="5"/>
  <c r="L679" i="5"/>
  <c r="L671" i="5"/>
  <c r="L646" i="5"/>
  <c r="L596" i="5"/>
  <c r="L571" i="5"/>
  <c r="L496" i="5"/>
  <c r="L454" i="5"/>
  <c r="L429" i="5"/>
  <c r="L404" i="5"/>
  <c r="L379" i="5"/>
  <c r="L304" i="5"/>
  <c r="L262" i="5"/>
  <c r="L237" i="5"/>
  <c r="L212" i="5"/>
  <c r="L187" i="5"/>
  <c r="L131" i="5"/>
  <c r="L112" i="5"/>
  <c r="L73" i="5"/>
  <c r="L34" i="5"/>
  <c r="L172" i="5"/>
  <c r="L148" i="5"/>
  <c r="L124" i="5"/>
  <c r="L100" i="5"/>
  <c r="L76" i="5"/>
  <c r="L52" i="5"/>
  <c r="L28" i="5"/>
  <c r="L4" i="5"/>
  <c r="H756" i="5"/>
  <c r="H732" i="5"/>
  <c r="H709" i="5"/>
  <c r="H685" i="5"/>
  <c r="H661" i="5"/>
  <c r="H637" i="5"/>
  <c r="H613" i="5"/>
  <c r="H541" i="5"/>
  <c r="H493" i="5"/>
  <c r="H469" i="5"/>
  <c r="H445" i="5"/>
  <c r="H397" i="5"/>
  <c r="H325" i="5"/>
  <c r="H301" i="5"/>
  <c r="H277" i="5"/>
  <c r="H253" i="5"/>
  <c r="H229" i="5"/>
  <c r="H181" i="5"/>
  <c r="H157" i="5"/>
  <c r="H133" i="5"/>
  <c r="H109" i="5"/>
  <c r="H85" i="5"/>
  <c r="H61" i="5"/>
  <c r="H37" i="5"/>
  <c r="H13" i="5"/>
  <c r="L654" i="5"/>
  <c r="L629" i="5"/>
  <c r="L604" i="5"/>
  <c r="L579" i="5"/>
  <c r="L554" i="5"/>
  <c r="L529" i="5"/>
  <c r="L504" i="5"/>
  <c r="L462" i="5"/>
  <c r="L437" i="5"/>
  <c r="L412" i="5"/>
  <c r="L387" i="5"/>
  <c r="L362" i="5"/>
  <c r="L337" i="5"/>
  <c r="L312" i="5"/>
  <c r="L270" i="5"/>
  <c r="L245" i="5"/>
  <c r="L220" i="5"/>
  <c r="L195" i="5"/>
  <c r="L121" i="5"/>
  <c r="L82" i="5"/>
  <c r="L24" i="5"/>
  <c r="L123" i="5"/>
  <c r="L99" i="5"/>
  <c r="H755" i="5"/>
  <c r="H731" i="5"/>
  <c r="H708" i="5"/>
  <c r="H684" i="5"/>
  <c r="H660" i="5"/>
  <c r="H636" i="5"/>
  <c r="H612" i="5"/>
  <c r="H540" i="5"/>
  <c r="H516" i="5"/>
  <c r="H468" i="5"/>
  <c r="H444" i="5"/>
  <c r="H420" i="5"/>
  <c r="H396" i="5"/>
  <c r="H372" i="5"/>
  <c r="H348" i="5"/>
  <c r="H324" i="5"/>
  <c r="H300" i="5"/>
  <c r="H276" i="5"/>
  <c r="H252" i="5"/>
  <c r="H228" i="5"/>
  <c r="H156" i="5"/>
  <c r="H132" i="5"/>
  <c r="H108" i="5"/>
  <c r="H84" i="5"/>
  <c r="H60" i="5"/>
  <c r="H36" i="5"/>
  <c r="H12" i="5"/>
  <c r="L662" i="5"/>
  <c r="L637" i="5"/>
  <c r="L612" i="5"/>
  <c r="L587" i="5"/>
  <c r="L562" i="5"/>
  <c r="L537" i="5"/>
  <c r="L512" i="5"/>
  <c r="L470" i="5"/>
  <c r="L445" i="5"/>
  <c r="L395" i="5"/>
  <c r="L370" i="5"/>
  <c r="L345" i="5"/>
  <c r="L320" i="5"/>
  <c r="L253" i="5"/>
  <c r="L228" i="5"/>
  <c r="L203" i="5"/>
  <c r="L178" i="5"/>
  <c r="L169" i="5"/>
  <c r="L43" i="5"/>
  <c r="L447" i="5"/>
  <c r="L50" i="5"/>
  <c r="L26" i="5"/>
  <c r="H707" i="5"/>
  <c r="H683" i="5"/>
  <c r="H659" i="5"/>
  <c r="H635" i="5"/>
  <c r="H611" i="5"/>
  <c r="H539" i="5"/>
  <c r="H515" i="5"/>
  <c r="H467" i="5"/>
  <c r="H443" i="5"/>
  <c r="H419" i="5"/>
  <c r="H395" i="5"/>
  <c r="H371" i="5"/>
  <c r="H347" i="5"/>
  <c r="H323" i="5"/>
  <c r="H299" i="5"/>
  <c r="H251" i="5"/>
  <c r="H227" i="5"/>
  <c r="H179" i="5"/>
  <c r="H155" i="5"/>
  <c r="H131" i="5"/>
  <c r="H83" i="5"/>
  <c r="H35" i="5"/>
  <c r="H11" i="5"/>
  <c r="L757" i="5"/>
  <c r="L749" i="5"/>
  <c r="L741" i="5"/>
  <c r="L725" i="5"/>
  <c r="L717" i="5"/>
  <c r="L710" i="5"/>
  <c r="L702" i="5"/>
  <c r="L678" i="5"/>
  <c r="L670" i="5"/>
  <c r="L645" i="5"/>
  <c r="L595" i="5"/>
  <c r="L545" i="5"/>
  <c r="L520" i="5"/>
  <c r="L478" i="5"/>
  <c r="L403" i="5"/>
  <c r="L378" i="5"/>
  <c r="L328" i="5"/>
  <c r="L286" i="5"/>
  <c r="L261" i="5"/>
  <c r="L236" i="5"/>
  <c r="L211" i="5"/>
  <c r="L186" i="5"/>
  <c r="L159" i="5"/>
  <c r="L130" i="5"/>
  <c r="L111" i="5"/>
  <c r="L91" i="5"/>
  <c r="L33" i="5"/>
  <c r="H706" i="5"/>
  <c r="H682" i="5"/>
  <c r="H658" i="5"/>
  <c r="H610" i="5"/>
  <c r="H586" i="5"/>
  <c r="H538" i="5"/>
  <c r="H514" i="5"/>
  <c r="H466" i="5"/>
  <c r="H418" i="5"/>
  <c r="H394" i="5"/>
  <c r="H370" i="5"/>
  <c r="H346" i="5"/>
  <c r="H322" i="5"/>
  <c r="H298" i="5"/>
  <c r="H274" i="5"/>
  <c r="H226" i="5"/>
  <c r="H202" i="5"/>
  <c r="H178" i="5"/>
  <c r="H154" i="5"/>
  <c r="H130" i="5"/>
  <c r="H82" i="5"/>
  <c r="H58" i="5"/>
  <c r="H10" i="5"/>
  <c r="L653" i="5"/>
  <c r="L628" i="5"/>
  <c r="L603" i="5"/>
  <c r="L578" i="5"/>
  <c r="L553" i="5"/>
  <c r="L528" i="5"/>
  <c r="L486" i="5"/>
  <c r="L461" i="5"/>
  <c r="L436" i="5"/>
  <c r="L411" i="5"/>
  <c r="L386" i="5"/>
  <c r="L361" i="5"/>
  <c r="L336" i="5"/>
  <c r="L294" i="5"/>
  <c r="L269" i="5"/>
  <c r="L244" i="5"/>
  <c r="L219" i="5"/>
  <c r="L194" i="5"/>
  <c r="L139" i="5"/>
  <c r="L120" i="5"/>
  <c r="L3" i="5"/>
  <c r="L144" i="5"/>
  <c r="L96" i="5"/>
  <c r="L72" i="5"/>
  <c r="H752" i="5"/>
  <c r="H705" i="5"/>
  <c r="H681" i="5"/>
  <c r="H657" i="5"/>
  <c r="H585" i="5"/>
  <c r="H561" i="5"/>
  <c r="H537" i="5"/>
  <c r="H513" i="5"/>
  <c r="H465" i="5"/>
  <c r="H441" i="5"/>
  <c r="H417" i="5"/>
  <c r="H393" i="5"/>
  <c r="H369" i="5"/>
  <c r="H345" i="5"/>
  <c r="H321" i="5"/>
  <c r="H297" i="5"/>
  <c r="H273" i="5"/>
  <c r="H225" i="5"/>
  <c r="H201" i="5"/>
  <c r="H177" i="5"/>
  <c r="H153" i="5"/>
  <c r="H129" i="5"/>
  <c r="H105" i="5"/>
  <c r="H81" i="5"/>
  <c r="H57" i="5"/>
  <c r="H9" i="5"/>
  <c r="L661" i="5"/>
  <c r="L636" i="5"/>
  <c r="L536" i="5"/>
  <c r="L469" i="5"/>
  <c r="L444" i="5"/>
  <c r="L394" i="5"/>
  <c r="L369" i="5"/>
  <c r="L344" i="5"/>
  <c r="L302" i="5"/>
  <c r="L252" i="5"/>
  <c r="L227" i="5"/>
  <c r="L168" i="5"/>
  <c r="L71" i="5"/>
  <c r="L42" i="5"/>
  <c r="L399" i="5"/>
  <c r="L239" i="5"/>
  <c r="L167" i="5"/>
  <c r="L23" i="5"/>
  <c r="H751" i="5"/>
  <c r="H704" i="5"/>
  <c r="H656" i="5"/>
  <c r="H584" i="5"/>
  <c r="H560" i="5"/>
  <c r="H536" i="5"/>
  <c r="H512" i="5"/>
  <c r="H464" i="5"/>
  <c r="H440" i="5"/>
  <c r="H416" i="5"/>
  <c r="H392" i="5"/>
  <c r="H368" i="5"/>
  <c r="H344" i="5"/>
  <c r="H320" i="5"/>
  <c r="H296" i="5"/>
  <c r="H272" i="5"/>
  <c r="H224" i="5"/>
  <c r="H176" i="5"/>
  <c r="H152" i="5"/>
  <c r="H128" i="5"/>
  <c r="H80" i="5"/>
  <c r="H56" i="5"/>
  <c r="H32" i="5"/>
  <c r="H8" i="5"/>
  <c r="L748" i="5"/>
  <c r="L724" i="5"/>
  <c r="L716" i="5"/>
  <c r="L709" i="5"/>
  <c r="L701" i="5"/>
  <c r="L677" i="5"/>
  <c r="L669" i="5"/>
  <c r="L644" i="5"/>
  <c r="L569" i="5"/>
  <c r="L544" i="5"/>
  <c r="L502" i="5"/>
  <c r="L477" i="5"/>
  <c r="L352" i="5"/>
  <c r="L310" i="5"/>
  <c r="L235" i="5"/>
  <c r="L210" i="5"/>
  <c r="L129" i="5"/>
  <c r="L80" i="5"/>
  <c r="L51" i="5"/>
  <c r="L207" i="5"/>
  <c r="L543" i="5"/>
  <c r="L59" i="5"/>
  <c r="L335" i="5"/>
  <c r="L503" i="5"/>
  <c r="L118" i="5"/>
  <c r="L70" i="5"/>
  <c r="L22" i="5"/>
  <c r="H750" i="5"/>
  <c r="H703" i="5"/>
  <c r="H679" i="5"/>
  <c r="H655" i="5"/>
  <c r="H631" i="5"/>
  <c r="H607" i="5"/>
  <c r="H583" i="5"/>
  <c r="H559" i="5"/>
  <c r="H535" i="5"/>
  <c r="H511" i="5"/>
  <c r="H487" i="5"/>
  <c r="H463" i="5"/>
  <c r="H439" i="5"/>
  <c r="H415" i="5"/>
  <c r="H391" i="5"/>
  <c r="H367" i="5"/>
  <c r="H343" i="5"/>
  <c r="H319" i="5"/>
  <c r="H295" i="5"/>
  <c r="H271" i="5"/>
  <c r="H247" i="5"/>
  <c r="H223" i="5"/>
  <c r="H199" i="5"/>
  <c r="H175" i="5"/>
  <c r="H151" i="5"/>
  <c r="H127" i="5"/>
  <c r="H79" i="5"/>
  <c r="H31" i="5"/>
  <c r="L652" i="5"/>
  <c r="L627" i="5"/>
  <c r="L602" i="5"/>
  <c r="L577" i="5"/>
  <c r="L552" i="5"/>
  <c r="L510" i="5"/>
  <c r="L485" i="5"/>
  <c r="L460" i="5"/>
  <c r="L435" i="5"/>
  <c r="L410" i="5"/>
  <c r="L385" i="5"/>
  <c r="L360" i="5"/>
  <c r="L318" i="5"/>
  <c r="L293" i="5"/>
  <c r="L268" i="5"/>
  <c r="L243" i="5"/>
  <c r="L218" i="5"/>
  <c r="L193" i="5"/>
  <c r="L176" i="5"/>
  <c r="L147" i="5"/>
  <c r="L138" i="5"/>
  <c r="L119" i="5"/>
  <c r="L567" i="5"/>
  <c r="L311" i="5"/>
  <c r="L527" i="5"/>
  <c r="L93" i="5"/>
  <c r="H749" i="5"/>
  <c r="H725" i="5"/>
  <c r="H702" i="5"/>
  <c r="H654" i="5"/>
  <c r="H630" i="5"/>
  <c r="H606" i="5"/>
  <c r="H582" i="5"/>
  <c r="H558" i="5"/>
  <c r="H534" i="5"/>
  <c r="H510" i="5"/>
  <c r="H486" i="5"/>
  <c r="H462" i="5"/>
  <c r="H438" i="5"/>
  <c r="H414" i="5"/>
  <c r="H390" i="5"/>
  <c r="H366" i="5"/>
  <c r="H342" i="5"/>
  <c r="H318" i="5"/>
  <c r="H294" i="5"/>
  <c r="H270" i="5"/>
  <c r="H246" i="5"/>
  <c r="H222" i="5"/>
  <c r="H198" i="5"/>
  <c r="H174" i="5"/>
  <c r="H150" i="5"/>
  <c r="H126" i="5"/>
  <c r="H102" i="5"/>
  <c r="H78" i="5"/>
  <c r="H54" i="5"/>
  <c r="H30" i="5"/>
  <c r="H6" i="5"/>
  <c r="L635" i="5"/>
  <c r="L610" i="5"/>
  <c r="L585" i="5"/>
  <c r="L468" i="5"/>
  <c r="L443" i="5"/>
  <c r="L368" i="5"/>
  <c r="L226" i="5"/>
  <c r="L11" i="5"/>
  <c r="L383" i="5"/>
  <c r="L287" i="5"/>
  <c r="L191" i="5"/>
  <c r="L623" i="5"/>
  <c r="L575" i="5"/>
  <c r="L479" i="5"/>
  <c r="L431" i="5"/>
  <c r="L46" i="5"/>
  <c r="L165" i="5"/>
  <c r="L141" i="5"/>
  <c r="L117" i="5"/>
  <c r="L69" i="5"/>
  <c r="L45" i="5"/>
  <c r="L21" i="5"/>
  <c r="H678" i="5"/>
  <c r="L164" i="5"/>
  <c r="L140" i="5"/>
  <c r="L116" i="5"/>
  <c r="L92" i="5"/>
  <c r="L68" i="5"/>
  <c r="L44" i="5"/>
  <c r="L20" i="5"/>
  <c r="H748" i="5"/>
  <c r="H653" i="5"/>
  <c r="H605" i="5"/>
  <c r="H581" i="5"/>
  <c r="H509" i="5"/>
  <c r="H437" i="5"/>
  <c r="H413" i="5"/>
  <c r="H389" i="5"/>
  <c r="H365" i="5"/>
  <c r="H317" i="5"/>
  <c r="H293" i="5"/>
  <c r="H269" i="5"/>
  <c r="H221" i="5"/>
  <c r="H173" i="5"/>
  <c r="H149" i="5"/>
  <c r="H125" i="5"/>
  <c r="H101" i="5"/>
  <c r="H77" i="5"/>
  <c r="H53" i="5"/>
  <c r="H29" i="5"/>
  <c r="H5" i="5"/>
  <c r="L747" i="5"/>
  <c r="L723" i="5"/>
  <c r="L715" i="5"/>
  <c r="L708" i="5"/>
  <c r="L700" i="5"/>
  <c r="L684" i="5"/>
  <c r="L676" i="5"/>
  <c r="L668" i="5"/>
  <c r="L593" i="5"/>
  <c r="L568" i="5"/>
  <c r="L501" i="5"/>
  <c r="L476" i="5"/>
  <c r="L401" i="5"/>
  <c r="L376" i="5"/>
  <c r="L334" i="5"/>
  <c r="L259" i="5"/>
  <c r="L234" i="5"/>
  <c r="L184" i="5"/>
  <c r="L128" i="5"/>
  <c r="L79" i="5"/>
  <c r="L136" i="5"/>
  <c r="L375" i="5"/>
  <c r="L87" i="5"/>
  <c r="L615" i="5"/>
  <c r="L359" i="5"/>
  <c r="L263" i="5"/>
  <c r="L215" i="5"/>
  <c r="L647" i="5"/>
  <c r="L599" i="5"/>
  <c r="L551" i="5"/>
  <c r="L455" i="5"/>
  <c r="L407" i="5"/>
  <c r="L94" i="5"/>
  <c r="H652" i="5"/>
  <c r="H604" i="5"/>
  <c r="H580" i="5"/>
  <c r="H508" i="5"/>
  <c r="H484" i="5"/>
  <c r="H436" i="5"/>
  <c r="H412" i="5"/>
  <c r="H340" i="5"/>
  <c r="H316" i="5"/>
  <c r="H292" i="5"/>
  <c r="H268" i="5"/>
  <c r="H244" i="5"/>
  <c r="H220" i="5"/>
  <c r="H196" i="5"/>
  <c r="H172" i="5"/>
  <c r="H148" i="5"/>
  <c r="H124" i="5"/>
  <c r="H100" i="5"/>
  <c r="H76" i="5"/>
  <c r="H52" i="5"/>
  <c r="H28" i="5"/>
  <c r="H4" i="5"/>
  <c r="L651" i="5"/>
  <c r="L626" i="5"/>
  <c r="L601" i="5"/>
  <c r="L576" i="5"/>
  <c r="L534" i="5"/>
  <c r="L509" i="5"/>
  <c r="L484" i="5"/>
  <c r="L459" i="5"/>
  <c r="L434" i="5"/>
  <c r="L409" i="5"/>
  <c r="L384" i="5"/>
  <c r="L342" i="5"/>
  <c r="L317" i="5"/>
  <c r="L292" i="5"/>
  <c r="L267" i="5"/>
  <c r="L242" i="5"/>
  <c r="L217" i="5"/>
  <c r="L192" i="5"/>
  <c r="L166" i="5"/>
  <c r="L146" i="5"/>
  <c r="L98" i="5"/>
  <c r="L40" i="5"/>
</calcChain>
</file>

<file path=xl/sharedStrings.xml><?xml version="1.0" encoding="utf-8"?>
<sst xmlns="http://schemas.openxmlformats.org/spreadsheetml/2006/main" count="3056" uniqueCount="789">
  <si>
    <t>Yves Saint Laurent - Libre Le Parfum K254</t>
  </si>
  <si>
    <t>Versace - Crystal Noir K234</t>
  </si>
  <si>
    <t>Gucci - Bamboo K117</t>
  </si>
  <si>
    <t>Tom Ford - Velvet Orchid K225</t>
  </si>
  <si>
    <t>Chanel - No:5 K58</t>
  </si>
  <si>
    <t>Parfums De Marly - Pegasus E181</t>
  </si>
  <si>
    <t>Victoria's Secret - Bombshell K241</t>
  </si>
  <si>
    <t>Victoria's Secret - Bombshells In Bloom K242</t>
  </si>
  <si>
    <t>Burberry - For Men Classic E24</t>
  </si>
  <si>
    <t>Christian Dior - Sauvage Elixir E64</t>
  </si>
  <si>
    <t>Armani - Acqua Di Gio Profumo E13</t>
  </si>
  <si>
    <t>Paco Rabanne - One Million E176</t>
  </si>
  <si>
    <t>Chanel - Bleu De Chanel E56</t>
  </si>
  <si>
    <t>Versace - Eros Pour Femme K235</t>
  </si>
  <si>
    <t>Yves Saint Laurent - Libre Woman K255</t>
  </si>
  <si>
    <t>Azzaro - Wanted E22</t>
  </si>
  <si>
    <t>Calvin Klein - C.K.One E40</t>
  </si>
  <si>
    <t>Parfums De Marly - Altair E180</t>
  </si>
  <si>
    <t>Creed - Absolu Aventus E73</t>
  </si>
  <si>
    <t>Hermes - Terre D'Hermes E120</t>
  </si>
  <si>
    <t>Louis Vuitton - Imagination E155</t>
  </si>
  <si>
    <t>Maison Francis Kurkdjian - Amyris Homme E157</t>
  </si>
  <si>
    <t>Parfüm</t>
  </si>
  <si>
    <t>Esans Tipi</t>
  </si>
  <si>
    <t>Yohji Yamamoto - Yohji Homme</t>
  </si>
  <si>
    <t>Eau de Parfum</t>
  </si>
  <si>
    <t>Yves Saint Laurent - Y Le Parfum</t>
  </si>
  <si>
    <t>Yves Saint Laurent - Y For Men</t>
  </si>
  <si>
    <t>Eau de Toilette</t>
  </si>
  <si>
    <t>Yves Saint Laurent - M7 Oud Absolu</t>
  </si>
  <si>
    <t>Yves Saint Laurent - M7</t>
  </si>
  <si>
    <t>YSL-La Nuit De L'Homme Bleu Electrique</t>
  </si>
  <si>
    <t>Yves Saint Laurent - La Nuit De L'Homme</t>
  </si>
  <si>
    <t>Yves Saint Laurent - L'Homme Parfum Intense</t>
  </si>
  <si>
    <t>Yves Saint Laurent - L'Homme Ultime</t>
  </si>
  <si>
    <t>Yves Saint Laurent - L'Homme</t>
  </si>
  <si>
    <t>Yves Saint Laurent - Kouros</t>
  </si>
  <si>
    <t>Yves Saint Laurent - Myself</t>
  </si>
  <si>
    <t>Eau de Cologne</t>
  </si>
  <si>
    <t>Xerjoff - Casamorati Mefisto 1888</t>
  </si>
  <si>
    <t>Aramis - Devin</t>
  </si>
  <si>
    <t>Carolina Herrera - CH Men</t>
  </si>
  <si>
    <t>Comme Des Garcons - 2 Man</t>
  </si>
  <si>
    <t>Roja Parfums - Enigma Pour Homme PC</t>
  </si>
  <si>
    <t>Roja Parfums - Elysium Pour Homme PC</t>
  </si>
  <si>
    <t>Ormonde Jayne - Man</t>
  </si>
  <si>
    <t>Givenchy - Xeryus Rouge</t>
  </si>
  <si>
    <t>Marbert Man</t>
  </si>
  <si>
    <t>Pino - Silvestre</t>
  </si>
  <si>
    <t>Ralph Lauren - Polo Blue</t>
  </si>
  <si>
    <t>Givenchy - Insense Ultramarine</t>
  </si>
  <si>
    <t>Initio Parfums Prives - Oud For Greatness</t>
  </si>
  <si>
    <t>Jil Sander - Sun Men</t>
  </si>
  <si>
    <t>Carolina Herrera - Chic For Men</t>
  </si>
  <si>
    <t>Celvin Klein - Obsession Night</t>
  </si>
  <si>
    <t>Cacharel - Pour Homme</t>
  </si>
  <si>
    <t>Bond No9 - The Scent Of Peace</t>
  </si>
  <si>
    <t>Armani - Code Ultimate</t>
  </si>
  <si>
    <t>Armani - Attitude</t>
  </si>
  <si>
    <t>Armani - Cedre</t>
  </si>
  <si>
    <t>Victoria's Secret - Very Sexy Platinum</t>
  </si>
  <si>
    <t>Victor &amp; Rolf - Spicebomb Night Vision</t>
  </si>
  <si>
    <t>Victor &amp; Rolf - Spicebomb Extreme</t>
  </si>
  <si>
    <t>Victor &amp; Rolf - Spicebomb</t>
  </si>
  <si>
    <t>Victor &amp; Rolf - Antidote</t>
  </si>
  <si>
    <t>Versace - Versace Man</t>
  </si>
  <si>
    <t>Versace - Pour Homme Oud Noir</t>
  </si>
  <si>
    <t>Versace - Pour Homme</t>
  </si>
  <si>
    <t>Versace - Versace L'Homme</t>
  </si>
  <si>
    <t>Versace - Eros Flame</t>
  </si>
  <si>
    <t>Versace - Eros</t>
  </si>
  <si>
    <t>Versace - Blue Jeans</t>
  </si>
  <si>
    <t>Versace - Green Jeans</t>
  </si>
  <si>
    <t>Versace - Dreamer</t>
  </si>
  <si>
    <t>Valentino - Uomo Born In Roma Coral Fantasy</t>
  </si>
  <si>
    <t>Valentino - Uomo Born In Roma Men</t>
  </si>
  <si>
    <t>Valentino - Very Valentino E199</t>
  </si>
  <si>
    <t>Valentino - Velentino Uomo E198</t>
  </si>
  <si>
    <t>Tommy Hilfiger - Freedom For Him E197</t>
  </si>
  <si>
    <t>Thierry Mugler - Alien Man E196</t>
  </si>
  <si>
    <t>Thierry Mugler - A Man E195</t>
  </si>
  <si>
    <t>Shisedo - Zen For Men E194</t>
  </si>
  <si>
    <t>Shaik - No:77 E193</t>
  </si>
  <si>
    <t>Rochas - Rochas Man E192</t>
  </si>
  <si>
    <t>Roberto Cavalli - Just Cavalli Gold For Him E191</t>
  </si>
  <si>
    <t>Remy Latour - Cigar E190</t>
  </si>
  <si>
    <t>Prada - Luna Rossa Ocean E189</t>
  </si>
  <si>
    <t>Prada - Luna Rossa Sport E188</t>
  </si>
  <si>
    <t>Prada - Luna Rossa Carbon E187</t>
  </si>
  <si>
    <t>Prada - Luna Rossa E186</t>
  </si>
  <si>
    <t>Prada - Prada L'Homme E185</t>
  </si>
  <si>
    <t>Penhaligon's - Roaring Radcliff E184</t>
  </si>
  <si>
    <t>Penhaligon's - The Uncompromising Sohan E183</t>
  </si>
  <si>
    <t>Penhaligon's - Opus 1870 E182</t>
  </si>
  <si>
    <t>Paco Rabanne - One Million Prive E179</t>
  </si>
  <si>
    <t>Paco Rabanne - One Million Lucky E178</t>
  </si>
  <si>
    <t>Paco Rabanne - One Million Elixir E177</t>
  </si>
  <si>
    <t>Paco Rabanne - Pour Homme E175</t>
  </si>
  <si>
    <t>Paco Rabanne - Invictus Platinum E174</t>
  </si>
  <si>
    <t>Paco Rabanne - Invictus Aqua E173</t>
  </si>
  <si>
    <t>Paco Rabanne - Invictus Legend E172</t>
  </si>
  <si>
    <t>Paco Rabanne - Invictus Victory Elixir E171</t>
  </si>
  <si>
    <t>Paco Rabanne - Invictus Victory E170</t>
  </si>
  <si>
    <t>Paco Rabanne - Invictus Intense E169</t>
  </si>
  <si>
    <t>Paco Rabanne - Invictus E168</t>
  </si>
  <si>
    <t>Nasomatto - Pardon E167</t>
  </si>
  <si>
    <t>Nasomatto - Black Afgano E166</t>
  </si>
  <si>
    <t>Narciso Rodriguez - For Him Musc Collection E165</t>
  </si>
  <si>
    <t>Narciso Rodriguez - Narciso Rodriguez For Him E164</t>
  </si>
  <si>
    <t>Montale - Black Aoud E163</t>
  </si>
  <si>
    <t>Michael Kors - Michael For Men E162</t>
  </si>
  <si>
    <t>Mancera - Aqua Wood E161</t>
  </si>
  <si>
    <t>Mancera - Black Gold E160</t>
  </si>
  <si>
    <t>Maison Francis Kurkdjian - Lumiere Noire Pour Homme E159</t>
  </si>
  <si>
    <t>Maison Francis Kurkdjian - Amyris Homme Extrait E158</t>
  </si>
  <si>
    <t>Louis Vuitton - Meteore E156</t>
  </si>
  <si>
    <t>Lancome - Hypnose Homme E154</t>
  </si>
  <si>
    <t>Lacoste - L'Homme Lacoste E153</t>
  </si>
  <si>
    <t>Lacoste - L12.12 Noir E152</t>
  </si>
  <si>
    <t>Lacoste - L.12.12 Blanc E151</t>
  </si>
  <si>
    <t>Lacoste - Essential E150</t>
  </si>
  <si>
    <t>Lacoste - Elegance E149</t>
  </si>
  <si>
    <t>Lacoste - Booster E148</t>
  </si>
  <si>
    <t>Kenzo - Pour Homme Once Upon A Time E147</t>
  </si>
  <si>
    <t>Kenzo - Tokyo By Kenzo E146</t>
  </si>
  <si>
    <t>Kenzo - L'Eau Par Kenzo Men E145</t>
  </si>
  <si>
    <t>Kenzo - Kenzo Homme Marine E144</t>
  </si>
  <si>
    <t>Kenzo - Kenzo Homme Woody E143</t>
  </si>
  <si>
    <t>Kenzo - Kenzo Pour Homme E142</t>
  </si>
  <si>
    <t>Jo Malone - Assam &amp; Grapefruit E141</t>
  </si>
  <si>
    <t>Jo Malone - Amber &amp; Lavander E140</t>
  </si>
  <si>
    <t>Jean Paul Gaultier - Fleur Du Male E139</t>
  </si>
  <si>
    <t>Jean Paul Gaultier - Le Male Elixir E138</t>
  </si>
  <si>
    <t>Jean Paul Gaultier - Le Male E137</t>
  </si>
  <si>
    <t>Jean Paul Gaultier - Ultra Male Intense E136</t>
  </si>
  <si>
    <t>Jean Paul Gaultier - Ultra Male E135</t>
  </si>
  <si>
    <t>Jean Paul Gaultier - Scandal Pour Homme E134</t>
  </si>
  <si>
    <t>Issey Miyake - L'Eau Majeur D'Issey E133</t>
  </si>
  <si>
    <t>Issey Miyake - L'Eau D'Iseey Intense E132</t>
  </si>
  <si>
    <t>Issey Miyake - L'Eau Bleue Pour Homme E131</t>
  </si>
  <si>
    <t>I.M. - L'Eau D'Issey Pour Homme Sport E130</t>
  </si>
  <si>
    <t>I.M. - L'Eau D'Issey Pour Homme E129</t>
  </si>
  <si>
    <t>Hugo Boss - Energise For Men E128</t>
  </si>
  <si>
    <t>Hugo Boss - Elements Aqua E127</t>
  </si>
  <si>
    <t>Hugo Boss - Elements E126</t>
  </si>
  <si>
    <t>Hugo Boss - Bottled Oud E125</t>
  </si>
  <si>
    <t>Hugo Boss - Bottled Infinite E124</t>
  </si>
  <si>
    <t>Hugo Boss - Bottled Night E123</t>
  </si>
  <si>
    <t>Hugo Boss - Hugo Man E122</t>
  </si>
  <si>
    <t>Hermes - H24 E121</t>
  </si>
  <si>
    <t>Hermes - Hermes For Men E119</t>
  </si>
  <si>
    <t>Guerlain - Habit Rouge E118</t>
  </si>
  <si>
    <t>Guerlain - L'Homme Ideal Intense E117</t>
  </si>
  <si>
    <t>Guerlain - L'Homme Ideal E116</t>
  </si>
  <si>
    <t>Guerlain - Guerlain Homme E115</t>
  </si>
  <si>
    <t>Gucci - Envy For Men E114</t>
  </si>
  <si>
    <t>Gucci - Guilty Elixir Him E113</t>
  </si>
  <si>
    <t>Gucci - Guilty Absolute Pour Homme E112</t>
  </si>
  <si>
    <t>Gucci - Guilty Intense Pour Homme E111</t>
  </si>
  <si>
    <t>Gucci - Guilty Black Pour Homme E110</t>
  </si>
  <si>
    <t>Gucci - Guilty Pour Homme E109</t>
  </si>
  <si>
    <t>Gucci - By Gucci Sport Pour Homme E108</t>
  </si>
  <si>
    <t>Gucci - By Gucci Pour Homme E107</t>
  </si>
  <si>
    <t>Gucci - Gucci Pour Homme E106</t>
  </si>
  <si>
    <t>Givenchy - Very Irresistible For Men E105</t>
  </si>
  <si>
    <t>Givenchy - Play E104</t>
  </si>
  <si>
    <t>Givenchy - Pi E103</t>
  </si>
  <si>
    <t>Givenchy - Gentlemen Only Absolute E102</t>
  </si>
  <si>
    <t>Givenchy - Gentlemen Only Intense E101</t>
  </si>
  <si>
    <t>Givenchy - Gentlemen Only E100</t>
  </si>
  <si>
    <t>Givenchy - Gentlemen E99</t>
  </si>
  <si>
    <t>Givenchy - Blue Label E98</t>
  </si>
  <si>
    <t>Estee Lauder - Intuition For Men E97</t>
  </si>
  <si>
    <t>Escada - Moon Sparcle For Men E96</t>
  </si>
  <si>
    <t>Escada - Pour Homme E95</t>
  </si>
  <si>
    <t>Dolce &amp; Gabbana - Light Blue Pour Homme E94</t>
  </si>
  <si>
    <t>Dolce &amp; Gabbana - The One Gentleman E93</t>
  </si>
  <si>
    <t>Dolce &amp; Gabbana - The One Sport For Men E92</t>
  </si>
  <si>
    <t>Dolce &amp; Gabbana - The One Royal Night E91</t>
  </si>
  <si>
    <t>Dolce &amp; Gabbana - The One Grey E90</t>
  </si>
  <si>
    <t>Dolce &amp; Gabbana - The One For Men E89</t>
  </si>
  <si>
    <t>Dolce &amp; Gabbana - K By Dolce &amp; Gabbana E88</t>
  </si>
  <si>
    <t>Dolce &amp; Gabbana - D&amp;G Pour Homme E87</t>
  </si>
  <si>
    <t>Diesel - Only The Brave Tattoo E86</t>
  </si>
  <si>
    <t>Diesel - Only The Brave E85</t>
  </si>
  <si>
    <t>Diesel - Fuel For Life Spirit E84</t>
  </si>
  <si>
    <t>Diesel - Fuel For Life For Men E83</t>
  </si>
  <si>
    <t>Diesel - Bad E82</t>
  </si>
  <si>
    <t>Diesel - Diesel E81</t>
  </si>
  <si>
    <t>Davidoff - Echo E80</t>
  </si>
  <si>
    <t>Davidoff - Adventure E79</t>
  </si>
  <si>
    <t>Davidoff - Champion E78</t>
  </si>
  <si>
    <t>Davidoff - Cool Water Game E77</t>
  </si>
  <si>
    <t>Davidoff - Cool Water Deep E76</t>
  </si>
  <si>
    <t>Davidoff - Cool Water Ice Fresh E75</t>
  </si>
  <si>
    <t>Davidoff - Cool Water E74</t>
  </si>
  <si>
    <t>Creed - Original Vetiver E72</t>
  </si>
  <si>
    <t>Creed - Original Santal E71</t>
  </si>
  <si>
    <t>Creed - Viking E70</t>
  </si>
  <si>
    <t>Creed - Silver Mountain Water E69</t>
  </si>
  <si>
    <t>Creed - Mountain Water E68</t>
  </si>
  <si>
    <t>Creed - Aventus E67</t>
  </si>
  <si>
    <t>Clive Christian - X For Men E66</t>
  </si>
  <si>
    <t>C.C. - Woody Leather With Oudh Intense E65</t>
  </si>
  <si>
    <t>Christian Dior - Sauvage E63</t>
  </si>
  <si>
    <t>Christian Dior - Fahrenheit E62</t>
  </si>
  <si>
    <t>Christian Dior - Dior Homme Sport E61</t>
  </si>
  <si>
    <t>Christian Dior - Dior Homme Intense E60</t>
  </si>
  <si>
    <t>Christian Dior - Dior Homme E59</t>
  </si>
  <si>
    <t>Chanel - Pour Monsieur E58</t>
  </si>
  <si>
    <t>Chanel - Platinum Egoiste E57</t>
  </si>
  <si>
    <t>Chanel - Antaeus E55</t>
  </si>
  <si>
    <t>Chanel - Allure Homme Sport E54</t>
  </si>
  <si>
    <t>Chanel - Allure Homme E53</t>
  </si>
  <si>
    <t>Carolina Herrera - Bad Boy E52</t>
  </si>
  <si>
    <t>Carolina Herrera - 212 Vip For Men E51</t>
  </si>
  <si>
    <t>Carolina Herrera - 212 Vip Black E50</t>
  </si>
  <si>
    <t>Carolina Herrera - 212 Sexy Men E49</t>
  </si>
  <si>
    <t>Carolina Herrera - 212 On Ice Men E48</t>
  </si>
  <si>
    <t>Carolina Herrera - 212 Ice E47</t>
  </si>
  <si>
    <t>Carolina Herrera - 212 Men E46</t>
  </si>
  <si>
    <t>Calvin Klein - Euphoria Gold Men E45</t>
  </si>
  <si>
    <t>Calvin Klein - Euphoria Men Intense E44</t>
  </si>
  <si>
    <t>Calvin Klein - Euphoria Men E43</t>
  </si>
  <si>
    <t>Calvin Klein - Eternity E42</t>
  </si>
  <si>
    <t>Calvin Klein - CK In2U Him E41</t>
  </si>
  <si>
    <t>By Kilian - Straight To Heaven (White Crystal) E39</t>
  </si>
  <si>
    <t>Bvlgari - Aqva Pour Homme Marine E38</t>
  </si>
  <si>
    <t>Bvlgari - Aqva Pour Homme E37</t>
  </si>
  <si>
    <t>Bvlgari - Le Gemme Ambero E36</t>
  </si>
  <si>
    <t>Bvlgari - Le Gemme Empyr E35</t>
  </si>
  <si>
    <t>Bvlgari - Tygar Le Gemme E34</t>
  </si>
  <si>
    <t>Bvlgari - Kobraa Le Gemme E33</t>
  </si>
  <si>
    <t>Bvlgari - Man In Black E32</t>
  </si>
  <si>
    <t>Bvlgari - Man E31</t>
  </si>
  <si>
    <t>Bvlgari - Pour Homme E30</t>
  </si>
  <si>
    <t>Burberry - Hero E29</t>
  </si>
  <si>
    <t>Burberry - Mr.Burberry E28</t>
  </si>
  <si>
    <t>Burberry - London For Men E27</t>
  </si>
  <si>
    <t>Burberry - Weekend For Men E26</t>
  </si>
  <si>
    <t>Burberry - Burberry Sport For Men E25</t>
  </si>
  <si>
    <t>Azzaro - Most Wanted E23</t>
  </si>
  <si>
    <t>Azzaro - Chrome E21</t>
  </si>
  <si>
    <t>Azzaro - Now E20</t>
  </si>
  <si>
    <t>Armani - Emporio Armani Night For Him E19</t>
  </si>
  <si>
    <t>Armani - Armani Mania Pour Homme E18</t>
  </si>
  <si>
    <t>Armani - Emporio Armani He E17</t>
  </si>
  <si>
    <t>Armani - Armani Black Code E16</t>
  </si>
  <si>
    <t>Armani - Code Profumo E15</t>
  </si>
  <si>
    <t>Armani - Code Sport E14</t>
  </si>
  <si>
    <t>Armani - Acqua Di Gio Profondo E12</t>
  </si>
  <si>
    <t>Armani - Stronger With You Intensely E11</t>
  </si>
  <si>
    <t>Armani - Stronger With You E10</t>
  </si>
  <si>
    <t>Armani - Acqua Di Gio Pour Homme E9</t>
  </si>
  <si>
    <t>Amouage - Interlude Man E8</t>
  </si>
  <si>
    <t>Amouage - Journey Man E7</t>
  </si>
  <si>
    <t>Amouage - Jubilation XXV E6</t>
  </si>
  <si>
    <t>Amouage - Reflection Man E4</t>
  </si>
  <si>
    <t>Acqua Di Parma - Colonia Leather EDC-C E3</t>
  </si>
  <si>
    <t>Acqua Di Parma - Colonia E2</t>
  </si>
  <si>
    <t>Abercrombie &amp; Fitch - Fierce E1</t>
  </si>
  <si>
    <t>Yohji Yamamoto - Yohji Pour Femme K265</t>
  </si>
  <si>
    <t>Yves Saint Laurent - Supreme Bouquet K264</t>
  </si>
  <si>
    <t>Yves Saint Laurent - Parisienne K263</t>
  </si>
  <si>
    <t>Yves Saint Laurent - Opium K262</t>
  </si>
  <si>
    <t>Yves Saint Laurent - Mon Paris K261</t>
  </si>
  <si>
    <t>Yves Saint Laurent - Elle K260</t>
  </si>
  <si>
    <t>Yves Saint Laurent - Cinema K259</t>
  </si>
  <si>
    <t>Yves Saint Laurent - Black Opium K258</t>
  </si>
  <si>
    <t>Yves Saint Laurent - Belle D'Opium K257</t>
  </si>
  <si>
    <t>Yves Saint Laurent - Libre Intense K256</t>
  </si>
  <si>
    <t>Yves Saint Laurent - Paris K253</t>
  </si>
  <si>
    <t>Yves Saint Laurent - Manifesto K252</t>
  </si>
  <si>
    <t>Xerjoff - Gran Ballo K251</t>
  </si>
  <si>
    <t>Xerjoff - Elle Anniversary K250</t>
  </si>
  <si>
    <t>Xerjoff - Casamorati Lira 1888 K249</t>
  </si>
  <si>
    <t>Victoria's Secret - Angel Gold K248</t>
  </si>
  <si>
    <t>Escada - Margaretha Ley K280</t>
  </si>
  <si>
    <t>Britney Spears - Midnight Fantasy K279</t>
  </si>
  <si>
    <t>Roja Parfums - Elixir Pour Femme Essence K278</t>
  </si>
  <si>
    <t>Paco Rabanne - Ultraviolet K277</t>
  </si>
  <si>
    <t>Ralph Lauren - Glamourous K276</t>
  </si>
  <si>
    <t>Jimmy Choo - Illicit K275</t>
  </si>
  <si>
    <t>Guerlain - Mon Guerlain K274</t>
  </si>
  <si>
    <t>Juliette Has A Gun - Not A Perfume (Ambroxan) K273</t>
  </si>
  <si>
    <t>Carolina Herrera - Chic K272</t>
  </si>
  <si>
    <t>Celvin Klein - Obsession Femme K271</t>
  </si>
  <si>
    <t>Cacharel - Noa Feminen K270</t>
  </si>
  <si>
    <t>Cacharel - Eau De'Eden K269</t>
  </si>
  <si>
    <t>Bond No9 - The Scent Of Peace K268</t>
  </si>
  <si>
    <t>Victoria's Secret - Angel K247</t>
  </si>
  <si>
    <t>Victoria's Secret - Sexy Little Things Noir K246</t>
  </si>
  <si>
    <t>Victoria's Secret - Scandalus K245</t>
  </si>
  <si>
    <t>Victoria's Secret - Fearless K244</t>
  </si>
  <si>
    <t>Victoria's Secret - Dream Angels Heavenly K243</t>
  </si>
  <si>
    <t>Victoria's Secret - Angels Only K240</t>
  </si>
  <si>
    <t>Victor &amp; Rolf - Flowerbomb Bloom K239</t>
  </si>
  <si>
    <t>Victor &amp; Rolf - Flowerbomb K238</t>
  </si>
  <si>
    <t>Victor &amp; Rolf - Bonbon K237</t>
  </si>
  <si>
    <t>Versace - Yellow Diamond K236</t>
  </si>
  <si>
    <t>Versace - Versense K233</t>
  </si>
  <si>
    <t>Versace - Dylan Blue Pour Femme K232</t>
  </si>
  <si>
    <t>Versace - Bright Crystal K231</t>
  </si>
  <si>
    <t>Valentino - Born In Roma Women K230</t>
  </si>
  <si>
    <t>Valentino - Rock'N Rose Couture K229</t>
  </si>
  <si>
    <t>Valentino - Rock'N Rose K228</t>
  </si>
  <si>
    <t>Tommy Hilfiger - Freedom For Her K227</t>
  </si>
  <si>
    <t>Tom Ford - White Patchouli K226</t>
  </si>
  <si>
    <t>Tom Ford - Urban Musc K224</t>
  </si>
  <si>
    <t>Tom Ford - Sahara Noir K223</t>
  </si>
  <si>
    <t>Tom Ford - Purple Patchouli K222</t>
  </si>
  <si>
    <t>Tom Ford - Orchid Soleil K221</t>
  </si>
  <si>
    <t>Tom Ford - Metallique K220</t>
  </si>
  <si>
    <t>Tom Ford - Jasmine Musc K219</t>
  </si>
  <si>
    <t>Tom Ford - Jasmin Rouge K218</t>
  </si>
  <si>
    <t>Thierry Mugler - Alien Goddess K217</t>
  </si>
  <si>
    <t>Thierry Mugler - Angel K216</t>
  </si>
  <si>
    <t>Thierry Mugler - Alien Woman K215</t>
  </si>
  <si>
    <t>Shisedo - Zen For Woman K214</t>
  </si>
  <si>
    <t>Rochas - Madame K213</t>
  </si>
  <si>
    <t>Rochas - Rochas Femme K212</t>
  </si>
  <si>
    <t>Rochas - Aqua Woman K211</t>
  </si>
  <si>
    <t>Su</t>
  </si>
  <si>
    <t>Roberto Cavalli - Paradiso K267</t>
  </si>
  <si>
    <t>Prada - Paradoxe Intense K210</t>
  </si>
  <si>
    <t>Prada - Paradoxe K209</t>
  </si>
  <si>
    <t>Prada - Candy K208</t>
  </si>
  <si>
    <t>Prada - La Femme K207</t>
  </si>
  <si>
    <t>Prada - Prada Woman K206</t>
  </si>
  <si>
    <t>Penhaligon's - Changing Constance</t>
  </si>
  <si>
    <t>Penhaligon's - The Revenge Of Lady Blanche</t>
  </si>
  <si>
    <t>Penhaligon's - Halfeti</t>
  </si>
  <si>
    <t>Parfums De Marly - Delina Exclusif</t>
  </si>
  <si>
    <t>Parfums De Marly - Delina</t>
  </si>
  <si>
    <t>Paco Rabanne - Pour Elle</t>
  </si>
  <si>
    <t>Paco Rabanne - Olympea Aqua</t>
  </si>
  <si>
    <t>Paco Rabanne - Olympea</t>
  </si>
  <si>
    <t>Paco Rabanne - Lady Million</t>
  </si>
  <si>
    <t>Nasomatto - Narcotic Venus</t>
  </si>
  <si>
    <t>Narciso Rodriguez - Poudree</t>
  </si>
  <si>
    <t>Narciso Rodriguez - Pure Musc For Her</t>
  </si>
  <si>
    <t>Narciso Rodriguez - For Her Musc Collection</t>
  </si>
  <si>
    <t>Narciso Rodriguez - Narciso Rodriguez For Her</t>
  </si>
  <si>
    <t>Montale - Powder Flowers</t>
  </si>
  <si>
    <t>Montale - Candy Rose</t>
  </si>
  <si>
    <t>Montale - Pure Gold</t>
  </si>
  <si>
    <t>Montale - Vanilla Extasy</t>
  </si>
  <si>
    <t>Montale - Vanille Absolu</t>
  </si>
  <si>
    <t>Michael Kors - Sexy Ruby</t>
  </si>
  <si>
    <t>Michael Kors - Wonderlust</t>
  </si>
  <si>
    <t>Michael Kors - Gorgeous</t>
  </si>
  <si>
    <t>Michael Kors - Sexy Amber</t>
  </si>
  <si>
    <t>Michael Kors - Michael For Woman</t>
  </si>
  <si>
    <t>Memo - Lalibela</t>
  </si>
  <si>
    <t>Mancera - Coco Vanille</t>
  </si>
  <si>
    <t>Mancera - Roses Vanille</t>
  </si>
  <si>
    <t>Mancera - Wild Candy</t>
  </si>
  <si>
    <t>Mancera - Red Tobacco</t>
  </si>
  <si>
    <t>Maison Francis Kurkdjian - Amyris Femme Extrait</t>
  </si>
  <si>
    <t>Maison Francis Kurkdjian - Amyris Femme</t>
  </si>
  <si>
    <t>Louis Vuitton - Spell On You</t>
  </si>
  <si>
    <t>Louis Vuitton - Attrape-reves</t>
  </si>
  <si>
    <t>Louis Vuitton - Apogee</t>
  </si>
  <si>
    <t>Lancome - Miracle</t>
  </si>
  <si>
    <t>Lancome - Poeme</t>
  </si>
  <si>
    <t>Lancome - Oui La Vie Est Belle</t>
  </si>
  <si>
    <t>Lancome - La Vie Est Belle Soleil Cristal</t>
  </si>
  <si>
    <t>Lancome - La Vie Est Belle L'Eclat</t>
  </si>
  <si>
    <t>Lancome - La Vie Est Belle Intensement</t>
  </si>
  <si>
    <t>Lancome - La Vie Est Belle En Rose</t>
  </si>
  <si>
    <t>Lancome - La Vie Est Belle Florale</t>
  </si>
  <si>
    <t>Lancome - La Vie Est Belle</t>
  </si>
  <si>
    <t>Lancome - La Nuit Tresor</t>
  </si>
  <si>
    <t>Lancome - Tresor</t>
  </si>
  <si>
    <t>Lancome - Idole Le Parfum</t>
  </si>
  <si>
    <t>Lancome - Hypnose Senses</t>
  </si>
  <si>
    <t>Lancome - Hypnose</t>
  </si>
  <si>
    <t>Lacoste - Pour Femme</t>
  </si>
  <si>
    <t>Lacoste - Femme De Lacoste</t>
  </si>
  <si>
    <t>Kenzo - L'Eau Par Kenzo Woman</t>
  </si>
  <si>
    <t>Kenzo - Kenzo Femme</t>
  </si>
  <si>
    <t>Kenzo - Flower By Kenzo L'Elixir</t>
  </si>
  <si>
    <t>Kenzo - Flower By Kenzo</t>
  </si>
  <si>
    <t>Kenzo - Pour Femme Once Upon A Time</t>
  </si>
  <si>
    <t>Jo Malone - Jasmine Sambac &amp; Marigold</t>
  </si>
  <si>
    <t>Jo Malone - Nectarine Blossom &amp; Honey</t>
  </si>
  <si>
    <t>Jo Malone - Blackberry &amp; Bay</t>
  </si>
  <si>
    <t>Jo Malone - Wild Bluebell</t>
  </si>
  <si>
    <t>Jo Malone - Red Roses</t>
  </si>
  <si>
    <t>Jo Malone - Peony &amp; Blush Suede</t>
  </si>
  <si>
    <t>Jo Malone - Orange Blossom</t>
  </si>
  <si>
    <t>Jo Malone - Nutmeg &amp; Ginger</t>
  </si>
  <si>
    <t>Jo Malone - Dark Amber &amp; Ginger Lily</t>
  </si>
  <si>
    <t>Jo Malone - Basil &amp; Mandarin</t>
  </si>
  <si>
    <t>Jean Paul Gaultier - Classique Intense</t>
  </si>
  <si>
    <t>Jean Paul Gaultier - Ma Dame</t>
  </si>
  <si>
    <t>Jean Paul Gaultier - Scandal Le Parfum</t>
  </si>
  <si>
    <t>Jean Paul Gaultier - Scandal By Night Intense</t>
  </si>
  <si>
    <t>Jean Paul Gaultier - So Scandal</t>
  </si>
  <si>
    <t>Jean Paul Gaultier - Scandal Pour Femme</t>
  </si>
  <si>
    <t>Issey Miyake - Pleats Please</t>
  </si>
  <si>
    <t>Issey Miyake - L'Eau D'Issey For Woman</t>
  </si>
  <si>
    <t>Hugo Boss - Nuit Pour Femme</t>
  </si>
  <si>
    <t>Hugo Boss - Boss The Scent For Her K130</t>
  </si>
  <si>
    <t>Hugo Boss - Boss Alive K129</t>
  </si>
  <si>
    <t>Hugo Boss - Boss Intense K128</t>
  </si>
  <si>
    <t>Hugo Boss - Boss Femme K127</t>
  </si>
  <si>
    <t>Hugo Boss - Hugo Boss Woman K126</t>
  </si>
  <si>
    <t>Hermes - Twilly D'Hermes K125</t>
  </si>
  <si>
    <t>Hermer - Elixir Des Merveilles K124</t>
  </si>
  <si>
    <t>Hermes - Eau Des Merveilles K123</t>
  </si>
  <si>
    <t>Guerlain - Mon Guerlain K122</t>
  </si>
  <si>
    <t>Guerlain - Shalimar Parfum Initial K121</t>
  </si>
  <si>
    <t>Guerlain - Shalimar K120</t>
  </si>
  <si>
    <t>Gucci - Premiere K119</t>
  </si>
  <si>
    <t>Gucci - Rush K118</t>
  </si>
  <si>
    <t>Gucci - Bloom Ambrosia Di Fiori K116</t>
  </si>
  <si>
    <t>Gucci - Bloom K115</t>
  </si>
  <si>
    <t>Gucci - Envy Me K114</t>
  </si>
  <si>
    <t>Gucci - Envy For Woman K113</t>
  </si>
  <si>
    <t>Gucci - Flora Gorgeus Jasmine K112</t>
  </si>
  <si>
    <t>Gucci - Flora By Gucci Georgeous Gardenia K111</t>
  </si>
  <si>
    <t>Gucci - Flora By Gucci K110</t>
  </si>
  <si>
    <t>Gucci - Guilty Elixir For Her K109</t>
  </si>
  <si>
    <t>Gucci - Guilty Love Edition Pour Femme K108</t>
  </si>
  <si>
    <t>Gucci - Guilty Absolute Pour Femme K107</t>
  </si>
  <si>
    <t>Gucci - Guilty Intense Pour Femme K106</t>
  </si>
  <si>
    <t>Gucci - Guilty Black Pour Femme K105</t>
  </si>
  <si>
    <t>Gucci - Guilty Pour Femme K104</t>
  </si>
  <si>
    <t>Gucci - By Gucci Pour Femme K103</t>
  </si>
  <si>
    <t>Gucci - Gucci Pour Femme K102</t>
  </si>
  <si>
    <t>Givenchy - Very Irresistible For Woman K101</t>
  </si>
  <si>
    <t>Givenchy - L'Interdit K100</t>
  </si>
  <si>
    <t>Givenchy - Ange &amp; Demon Le Secret K99</t>
  </si>
  <si>
    <t>Givenchy - Ange &amp; Demon K98</t>
  </si>
  <si>
    <t>Givenchy - Absolutely Irresistible K97</t>
  </si>
  <si>
    <t>Ex Nihilo - Devil Tender K96</t>
  </si>
  <si>
    <t>Ex Nihilo - Lust In Paradise K95</t>
  </si>
  <si>
    <t>Ex Nihilo - Sweet Morphine K94</t>
  </si>
  <si>
    <t>Estee Lauder - Sensuous Nude K93</t>
  </si>
  <si>
    <t>Estee Lauder - Sensuous Noir K92</t>
  </si>
  <si>
    <t>Estee Lauder - Sensuous K91</t>
  </si>
  <si>
    <t>Estee Lauder - Modern Muse Nuit K90</t>
  </si>
  <si>
    <t>Estee Lauder - Modern Muse Le Rouge K89</t>
  </si>
  <si>
    <t>Estee Lauder - Modern Muse K88</t>
  </si>
  <si>
    <t>Escada - Ocean Lounge K87</t>
  </si>
  <si>
    <t>Escada - Moon Sparcle For Woman K86</t>
  </si>
  <si>
    <t>Escada - Escada Collection K85</t>
  </si>
  <si>
    <t>Elie Saab - Elie Saab Le Parfum K84</t>
  </si>
  <si>
    <t>Dolce &amp; Gabbana - Devotion K83</t>
  </si>
  <si>
    <t>Dolce &amp; Gabbana - Light Blue For Woman K82</t>
  </si>
  <si>
    <t>Dolce &amp; Gabbana - The One For Woman K81</t>
  </si>
  <si>
    <t>Dolce &amp; Gabbana - Dolce K80</t>
  </si>
  <si>
    <t>Dolce &amp; Gabbana - D&amp;G Femme K79</t>
  </si>
  <si>
    <t>Diesel - Fuel For Life For Woman K78</t>
  </si>
  <si>
    <t>Davidoff - Cool Water Woman K77</t>
  </si>
  <si>
    <t>Creed - Wind Flowers K76</t>
  </si>
  <si>
    <t>Creed - Aventus For Her K75</t>
  </si>
  <si>
    <t>Christian Dior - Dior Addict K74</t>
  </si>
  <si>
    <t>Christian Dior - Dune K73</t>
  </si>
  <si>
    <t>Christian Dior - Miss Dior K72</t>
  </si>
  <si>
    <t>Christian Dior - Midnight Poison K71</t>
  </si>
  <si>
    <t>Christian Dior - Pure Poison K70</t>
  </si>
  <si>
    <t>Christian Dior - Poison K69</t>
  </si>
  <si>
    <t>Christian Dior - Hypnotic Poison K68</t>
  </si>
  <si>
    <t>Christian Dior - I Love Dior K67</t>
  </si>
  <si>
    <t>Christian Dior - J'Adore K66</t>
  </si>
  <si>
    <t>Christian Dior - Joy By Dior K65</t>
  </si>
  <si>
    <t>Chloe - Love Story K64</t>
  </si>
  <si>
    <t>Chloe - Love Chloe K63</t>
  </si>
  <si>
    <t>Chanel - Coco Noir K62</t>
  </si>
  <si>
    <t>Chanel - Coco Mademoiselle K61</t>
  </si>
  <si>
    <t>Chanel - Coco Chanel K60</t>
  </si>
  <si>
    <t>Chanel - No:5 Eau Premiere K59</t>
  </si>
  <si>
    <t>Chanel - Chance Eau Fraiche K57</t>
  </si>
  <si>
    <t>Chanel - Chance Eau Tendre K56</t>
  </si>
  <si>
    <t>Chanel - Chance K55</t>
  </si>
  <si>
    <t>Chanel - Allure For Woman K54</t>
  </si>
  <si>
    <t>Carolina Herrera - Very Good Girl K53</t>
  </si>
  <si>
    <t>Carolina Herrera - Good Girl K52</t>
  </si>
  <si>
    <t>Carolina Herrera - 212 Vip For Woman K51</t>
  </si>
  <si>
    <t>Caroliina Herrera - 212 Sexy Woman K50</t>
  </si>
  <si>
    <t>Carolina Herrera - 212 On Ice For Woman K49</t>
  </si>
  <si>
    <t>Carolina Herrera - 212 Woman K48</t>
  </si>
  <si>
    <t>Calvin Klein - Euphoria Gold Woman K47</t>
  </si>
  <si>
    <t>Calvin Klein - Euphoria Woman K46</t>
  </si>
  <si>
    <t>Calvin Klein - In2U Her K45</t>
  </si>
  <si>
    <t>Calvin Klein - Beauty K44</t>
  </si>
  <si>
    <t>By Kilian - Forbiden Games K43</t>
  </si>
  <si>
    <t>By Kilian - Playing With The Devil K42</t>
  </si>
  <si>
    <t>By Kilian - Love Don't Be Shy K41</t>
  </si>
  <si>
    <t>By Kilian - Good Girl Gone Bad K40</t>
  </si>
  <si>
    <t>Bvlgari - Omnia Green Jade K39</t>
  </si>
  <si>
    <t>Bvlgari - Omnia Crystalline K38</t>
  </si>
  <si>
    <t>Bvlgari - Omnia Amethyste K37</t>
  </si>
  <si>
    <t>Bvlgari - Jasmin Noir K36</t>
  </si>
  <si>
    <t>Bvlgari - BLV K35</t>
  </si>
  <si>
    <t>Burberry - Her Elixir De Parfum K34</t>
  </si>
  <si>
    <t>Burberry - Goddess K33</t>
  </si>
  <si>
    <t>Burberry - My.Burberry K32</t>
  </si>
  <si>
    <t>Burberry - London For Woman K31</t>
  </si>
  <si>
    <t>Burberry - Weekend For Woman K30</t>
  </si>
  <si>
    <t>Burberry - Burberry Sport For Woman K29</t>
  </si>
  <si>
    <t>Burberry - Her Eau De Parfum K28</t>
  </si>
  <si>
    <t>Burberry - Burberry For Her K27</t>
  </si>
  <si>
    <t>Azzaro - Wanted Girl K26</t>
  </si>
  <si>
    <t>Armani - Si Rose Signature K25</t>
  </si>
  <si>
    <t>Armani - Si Passione K24</t>
  </si>
  <si>
    <t>Armani - Si Intense K23</t>
  </si>
  <si>
    <t>Armani - Si K22</t>
  </si>
  <si>
    <t>Armani - Prive Jasmin Kusamono K21</t>
  </si>
  <si>
    <t>Armani - Prive Rose D'Arabie K20</t>
  </si>
  <si>
    <t>Armani - Prive Rose Alexandrie K19</t>
  </si>
  <si>
    <t>Armani - Prive Oud Royal K18</t>
  </si>
  <si>
    <t>Armani - Idole D'Armani K17</t>
  </si>
  <si>
    <t>Armani - My Way K16</t>
  </si>
  <si>
    <t>Armani - Mania K15</t>
  </si>
  <si>
    <t>Armani - In Love With You K14</t>
  </si>
  <si>
    <t>Armani - Giorgio Armani Code K13</t>
  </si>
  <si>
    <t>Armani - Emporio Armani White K12</t>
  </si>
  <si>
    <t>Armani - She K11</t>
  </si>
  <si>
    <t>Armani - Code Cashmere K10</t>
  </si>
  <si>
    <t>Armani - Because It's You K9</t>
  </si>
  <si>
    <t>Armani - Emporiflameo Giorgio Armani Diamonds K8</t>
  </si>
  <si>
    <t>Armani - Acqua Di Gioia K7</t>
  </si>
  <si>
    <t>Amouage - Dia Pour Femme K6</t>
  </si>
  <si>
    <t>Amouage - Honour K5</t>
  </si>
  <si>
    <t>Amouage - Memoir K4</t>
  </si>
  <si>
    <t>Acqua Di Parma - Rosa Nobile K3</t>
  </si>
  <si>
    <t>Acqua Di Parma - Magnolia Nobile K2</t>
  </si>
  <si>
    <t>Abercrombie &amp; Fitch - Perfume NO:1 UNDONE K1</t>
  </si>
  <si>
    <t>Alkol</t>
  </si>
  <si>
    <t>Esans</t>
  </si>
  <si>
    <t>Xerjoff - Torino 21 U218</t>
  </si>
  <si>
    <t>Xerjoff - 40 Knots U217</t>
  </si>
  <si>
    <t>Xerjoff - Casamorati Futura 1888 U216</t>
  </si>
  <si>
    <t>Xerjoff - Opera U215</t>
  </si>
  <si>
    <t>Xerjoff - Fatal Charme U214</t>
  </si>
  <si>
    <t>Xerjoff - Accento U213</t>
  </si>
  <si>
    <t>Xerjoff - Starlight U212</t>
  </si>
  <si>
    <t>Xerjoff - Apollonia U211</t>
  </si>
  <si>
    <t>Xerjoff - More Than Words U210</t>
  </si>
  <si>
    <t>Xerjoff - La Capitale U209</t>
  </si>
  <si>
    <t>Xerjoff - Alexandria III U208</t>
  </si>
  <si>
    <t>Xerjoff - Alexandria II U207</t>
  </si>
  <si>
    <t>Xerjoff - Kind Of Blue U206</t>
  </si>
  <si>
    <t>Xerjoff - Comandante U205</t>
  </si>
  <si>
    <t>Xerjoff - 1861 Naxos U204</t>
  </si>
  <si>
    <t>Xerjoff - Italica U203</t>
  </si>
  <si>
    <t>Xerjoff - 1861 Renaissance U202</t>
  </si>
  <si>
    <t>Xerjoff - Fiore D'Ulivo U201</t>
  </si>
  <si>
    <t>Xerjoff - Don U200</t>
  </si>
  <si>
    <t>Xerjoff - Casamorati Bouquet Ideale U199</t>
  </si>
  <si>
    <t>Attar Collection - Khaltat Night U234</t>
  </si>
  <si>
    <t>Essential Parfums - Bois Imperial U233</t>
  </si>
  <si>
    <t>Initio Parfums Prives - Side Effect U232</t>
  </si>
  <si>
    <t>Louis Vuitton - Afternoon Swim U231</t>
  </si>
  <si>
    <t>Louis Vuitton - Pacific Chill U230</t>
  </si>
  <si>
    <t>Juliette Has A Gun - Vanilla Vibes U229</t>
  </si>
  <si>
    <t>J.H.A.Gun - Not A Perfume Superdose (Ambroxan) U228</t>
  </si>
  <si>
    <t>Bond No9 - Signature Parfume U227</t>
  </si>
  <si>
    <t>Bond No9 - Dubai Amber U226</t>
  </si>
  <si>
    <t>Bond No9 - Green Which Village U225</t>
  </si>
  <si>
    <t>Bond No9 - Wall Street U224</t>
  </si>
  <si>
    <t>Bond No9 - New York Oud U223</t>
  </si>
  <si>
    <t>Bond No9 - New York Nights U222</t>
  </si>
  <si>
    <t>Bond No9 - New York Amber U221</t>
  </si>
  <si>
    <t>BDK Parfums - Rouge Smoking U220</t>
  </si>
  <si>
    <t>BDK Parfums - Gris Chanel Extrait U219</t>
  </si>
  <si>
    <t>Tom Ford - Bitter Peach U198</t>
  </si>
  <si>
    <t>Tom Ford - Arabian Wood U197</t>
  </si>
  <si>
    <t>Tom Ford - Amber Absolute U196</t>
  </si>
  <si>
    <t>Tom Ford - Noir De Noir U195</t>
  </si>
  <si>
    <t>Tom Ford - Lost Cherry U194</t>
  </si>
  <si>
    <t>Tom Ford - White Suede U193</t>
  </si>
  <si>
    <t>Tom Ford - Tuscan Leather U192</t>
  </si>
  <si>
    <t>Tom Ford - Tom Ford For Men U191</t>
  </si>
  <si>
    <t>Tom Ford - Oud Wood U190</t>
  </si>
  <si>
    <t>Tom Ford - Moss Breches U189</t>
  </si>
  <si>
    <t>Tom Ford - Japon Noir U188</t>
  </si>
  <si>
    <t>Tom Ford - Beau De Jour U186</t>
  </si>
  <si>
    <t>Tom Ford - Soleil Neige U185</t>
  </si>
  <si>
    <t>Tom Ford - Cherry Smoke U184</t>
  </si>
  <si>
    <t>Tom Ford - Soleil Brulant U183</t>
  </si>
  <si>
    <t>Tom Ford - Noir Extreme U182</t>
  </si>
  <si>
    <t>Tom Ford - Ebene Fume U181</t>
  </si>
  <si>
    <t>Tom Ford - Costa Azzurra U180</t>
  </si>
  <si>
    <t>Tom Ford - Tobacco Oud U179</t>
  </si>
  <si>
    <t>Tom Ford - Soleil Blanc U178</t>
  </si>
  <si>
    <t>Tom Ford - Rose Prick U177</t>
  </si>
  <si>
    <t>Tom Ford - Patchouli Absolu U176</t>
  </si>
  <si>
    <t>Tom Ford - Oud Minerale U175</t>
  </si>
  <si>
    <t>Tom Ford - Oud Fleur U174</t>
  </si>
  <si>
    <t>Tom Ford - Ombre Leather U173</t>
  </si>
  <si>
    <t>Tom Ford - London U172</t>
  </si>
  <si>
    <t>Tom Ford - Lavander Palm U171</t>
  </si>
  <si>
    <t>Tom Ford - Italian Cypress U170</t>
  </si>
  <si>
    <t>Tom Ford - Fucking Fabulous U169</t>
  </si>
  <si>
    <t>Tom Ford - Black Orchid U168</t>
  </si>
  <si>
    <t>Tom Ford - Cafe Rose U167</t>
  </si>
  <si>
    <t>Tom Ford - Black Violet U166</t>
  </si>
  <si>
    <t>Tom Ford - Vert Des Bois U165</t>
  </si>
  <si>
    <t>Tom Ford - Ombre De Hyacinth U164</t>
  </si>
  <si>
    <t>Tom Ford - Jonquille De Nuit (Reserve Collection) U163</t>
  </si>
  <si>
    <t>Tom Ford - Azure Lime U162</t>
  </si>
  <si>
    <t>Tom Ford - Mandarino Di Amalfi U161</t>
  </si>
  <si>
    <t>Tom Ford - Neroli Portofino Acqua U160</t>
  </si>
  <si>
    <t>Tom Ford - Electric Cherry U159</t>
  </si>
  <si>
    <t>Tom Ford - Vanilla Sex U158</t>
  </si>
  <si>
    <t>Tom Ford - Tobacco Vanille U157</t>
  </si>
  <si>
    <t>Tiziana Terenzi - Rosso Pompei U156</t>
  </si>
  <si>
    <t>Tiziana Terenzi - Casanova U155</t>
  </si>
  <si>
    <t>Tiziana Terenzi - Tyrenum U154</t>
  </si>
  <si>
    <t>Tiziana Terenzi - Libra U153</t>
  </si>
  <si>
    <t>Tiziana Terenzi - Porpora U152</t>
  </si>
  <si>
    <t>Tiziana Terenzi - Orza U151</t>
  </si>
  <si>
    <t>Tiziana Terenzi - Cassiopea U150</t>
  </si>
  <si>
    <t>Tiziana Terenzi - Sirrah Extrait De Parfum U149</t>
  </si>
  <si>
    <t>Tiziana Terenzi - Atlantide U148</t>
  </si>
  <si>
    <t>Tiziana Terenzi - Orion U147</t>
  </si>
  <si>
    <t>Tiziana Terenzi - Ursa U146</t>
  </si>
  <si>
    <t>Tiziana Terenzi - TYL Assoluto U145</t>
  </si>
  <si>
    <t>Tiziana Terenzi - Telea U144</t>
  </si>
  <si>
    <t>Tiziana Terenzi - Kirke U143</t>
  </si>
  <si>
    <t>Tiziana Terenzi - Gumin U142</t>
  </si>
  <si>
    <t>Tiziana Terenzi - Gold Rose Oudh U141</t>
  </si>
  <si>
    <t>Tiziana Terenzi - Draco U140</t>
  </si>
  <si>
    <t>Tiziana Terenzi - Delox U139</t>
  </si>
  <si>
    <t>Tiziana Terenzi - Bianco Puro U138</t>
  </si>
  <si>
    <t>Tiziana Terenzi - Andromeda U137</t>
  </si>
  <si>
    <t>Sospiro - Erba Pura U136</t>
  </si>
  <si>
    <t>Penhaligon's - Halfeti Leather U135</t>
  </si>
  <si>
    <t>Penhaligon's - Constantinople U134</t>
  </si>
  <si>
    <t>Parfums De Marly - Layton U133</t>
  </si>
  <si>
    <t>Orto Parisi - Megamare U132</t>
  </si>
  <si>
    <t>Nishane - Anı U131</t>
  </si>
  <si>
    <t>Nishane - Hacıvat U130</t>
  </si>
  <si>
    <t>Nasomatto - Blamage U129</t>
  </si>
  <si>
    <t>Nasomatto - Silver Musc U128</t>
  </si>
  <si>
    <t>Nasomatto - Absinth U127</t>
  </si>
  <si>
    <t>Montale - Pretty Fruity U126</t>
  </si>
  <si>
    <t>Montale - Vanilla Cake U125</t>
  </si>
  <si>
    <t>Montale - Amber &amp; Spices U124</t>
  </si>
  <si>
    <t>Montale - Wild Pears U123</t>
  </si>
  <si>
    <t>Montale - Aoud Lagoon U122</t>
  </si>
  <si>
    <t>Montale - Orchid Powder U121</t>
  </si>
  <si>
    <t>Montale - Mukhallat U120</t>
  </si>
  <si>
    <t>Montale - Fruits Of The Musk U119</t>
  </si>
  <si>
    <t>Montale - Musk To Musk U118</t>
  </si>
  <si>
    <t>Montale - Jasmine Full U117</t>
  </si>
  <si>
    <t>Montale - Soleil De Capri U116</t>
  </si>
  <si>
    <t>Montale - Greyland U115</t>
  </si>
  <si>
    <t>Montale - Crystal Flowers U114</t>
  </si>
  <si>
    <t>Montale - Blue Amber U113</t>
  </si>
  <si>
    <t>Montale - Chocolate Greedy U112</t>
  </si>
  <si>
    <t>Montale - Intense Cafe U111</t>
  </si>
  <si>
    <t>Montale - Black Musk U110</t>
  </si>
  <si>
    <t>Montale - Sensual Instinct U109</t>
  </si>
  <si>
    <t>Montale - Arabian Tonka U108</t>
  </si>
  <si>
    <t>Montale - Vetiver Patchouli U107</t>
  </si>
  <si>
    <t>Montale - Starry Night U106</t>
  </si>
  <si>
    <t>Montale - Aoud Sense U105</t>
  </si>
  <si>
    <t>Montale - Aoud Night U104</t>
  </si>
  <si>
    <t>Montale - Aoud Lime U103</t>
  </si>
  <si>
    <t>Memo - Sicilian Leather U102</t>
  </si>
  <si>
    <t>Memo - Sintra U101</t>
  </si>
  <si>
    <t>Memo - Winter Palace U100</t>
  </si>
  <si>
    <t>Memo - Ocean Leather U99</t>
  </si>
  <si>
    <t>Memo - Lalibela Oud Eau De Parfum U98</t>
  </si>
  <si>
    <t>Memo - Marfa Spices U97</t>
  </si>
  <si>
    <t>Memo - Iberian Leather U96</t>
  </si>
  <si>
    <t>Memo - Russian Leather U95</t>
  </si>
  <si>
    <t>Memo - Morrocan Leather U94</t>
  </si>
  <si>
    <t>Memo - Italian Leather U93</t>
  </si>
  <si>
    <t>Memo - Irish Leather U92</t>
  </si>
  <si>
    <t>Memo - French Leather U91</t>
  </si>
  <si>
    <t>Memo - Kedu Sesame U90</t>
  </si>
  <si>
    <t>Memo - Argentina U89</t>
  </si>
  <si>
    <t>Memo - Flam U88</t>
  </si>
  <si>
    <t>Memo - African Leather U87</t>
  </si>
  <si>
    <t>Memo - Marfa U86</t>
  </si>
  <si>
    <t>Memo - Eau De Memo U85</t>
  </si>
  <si>
    <t>Marc Antoine Barrois - Ganymede U84</t>
  </si>
  <si>
    <t>Mancera - Black Vanilla U83</t>
  </si>
  <si>
    <t>Mancera - Hindu Kush U82</t>
  </si>
  <si>
    <t>Mancera - Midnight Gold U81</t>
  </si>
  <si>
    <t>Mancera - Aoud Lemon Mint U80</t>
  </si>
  <si>
    <t>Mancera - Aoud Orchid U79</t>
  </si>
  <si>
    <t>Mancera - Lemon Lime U78</t>
  </si>
  <si>
    <t>Mancera - Cedrat Boise U77</t>
  </si>
  <si>
    <t>M.F.K - Oud Satin Mood ExDP U76</t>
  </si>
  <si>
    <t>Maison Francis Kurkdjian - Oud Satin Mood U75</t>
  </si>
  <si>
    <t>Maison Francis Kurkdjian - Oud U74</t>
  </si>
  <si>
    <t>Maison Francis Kurkdjian - Grand Soir U73</t>
  </si>
  <si>
    <t>Maison Francis Kurkdjian - Gentle Fluidity Gold U72</t>
  </si>
  <si>
    <t>Maison Francis Kurkdjian - Gentle Fluidity Silver U71</t>
  </si>
  <si>
    <t>M.F.K - Baccarat Rouge 540 ExDP U70</t>
  </si>
  <si>
    <t>Maison Francis Kurkdjian - Baccarat Rouge 540 U69</t>
  </si>
  <si>
    <t>Maison Francis Kurkdjian - Absolue Pour Le Matin U68</t>
  </si>
  <si>
    <t>Maison Francis Kurkdjian - Aqua Universalis Forte U67</t>
  </si>
  <si>
    <t>Maison Francis Kurkdjian - Aqua Universalis U66</t>
  </si>
  <si>
    <t>Maison Francis Kurkdjian - Aqua Celestia U65</t>
  </si>
  <si>
    <t>Louis Vuitton - On The Beach U64</t>
  </si>
  <si>
    <t>Louis Vuitton - California Dream U63</t>
  </si>
  <si>
    <t>Louis Vuitton - Ombre Nomade U62</t>
  </si>
  <si>
    <t>Louis Vuitton - L'Immensite U61</t>
  </si>
  <si>
    <t>Le Labo - The Matcha 26 U60</t>
  </si>
  <si>
    <t>Le Labo - The Noir 29 U59</t>
  </si>
  <si>
    <t>Le Labo - Another 13 U58</t>
  </si>
  <si>
    <t>Le Labo - Santal 33 U57</t>
  </si>
  <si>
    <t>Jo Malone - Wood Sage &amp; Sea Salt U56</t>
  </si>
  <si>
    <t>Jo Malone - Wild Fig &amp; Cassis U55</t>
  </si>
  <si>
    <t>Jo Malone - Grapefruit Cologne U54</t>
  </si>
  <si>
    <t>J.M. - Bronze Wood&amp;Leather Col. Int. U53</t>
  </si>
  <si>
    <t>Jo Malone - Sea Daffodil U52</t>
  </si>
  <si>
    <t>J.M. - Vetiver&amp;Golden Vanilla Col. Int. U51</t>
  </si>
  <si>
    <t>Jo Malone - Velvet Rose &amp; Oud U50</t>
  </si>
  <si>
    <t>J.M. - Cologne Int. Oud &amp; Bergamot U49</t>
  </si>
  <si>
    <t>Hermes - Un Jardin Sur Le Toit U48</t>
  </si>
  <si>
    <t>Hermes - Le Jardin De Monsieur Li U47</t>
  </si>
  <si>
    <t>Hermes - Eau D'Orange Verte U46</t>
  </si>
  <si>
    <t>Hermes - L'Ombre Des Merveilles U45</t>
  </si>
  <si>
    <t>Hermes - Hermessence Santal Massoia U44</t>
  </si>
  <si>
    <t>Hermes - Poivre Samarcande U43</t>
  </si>
  <si>
    <t>Hermes - Hermessence Osmanthe Yunnan U42</t>
  </si>
  <si>
    <t>Hermes - Cedre Sambac U41</t>
  </si>
  <si>
    <t>Hermes - Hermessence Ambre Narguile U40</t>
  </si>
  <si>
    <t>Hermes - Agar Ebene U39</t>
  </si>
  <si>
    <t>Guerlain - Angelique Noire U38</t>
  </si>
  <si>
    <t>Gucci - Guilty Oud U37</t>
  </si>
  <si>
    <t>Gucci - Intense Oud U36</t>
  </si>
  <si>
    <t>Gucci - Gucci Oud U35</t>
  </si>
  <si>
    <t>Franck Boclet - Cocaine U34</t>
  </si>
  <si>
    <t>Ex Nihilo - Musc Infini U33</t>
  </si>
  <si>
    <t>Ex Nihilo - Love Shot U32</t>
  </si>
  <si>
    <t>Ex Nihilo - Amber Sky U31</t>
  </si>
  <si>
    <t>Ex Nihilo - Venenum Kiss U30</t>
  </si>
  <si>
    <t>Ex Nihilo - Midnight Special U29</t>
  </si>
  <si>
    <t>Ex Nihilo - Fleur Narcotique U28</t>
  </si>
  <si>
    <t>Estee Lauder - Woody Mystique U27</t>
  </si>
  <si>
    <t>Escentic Molecules - Escentric 02 U26</t>
  </si>
  <si>
    <t>Escentic Molecules - Molecules 02 U25</t>
  </si>
  <si>
    <t>Escentic Molecules - Molecules 01 U24</t>
  </si>
  <si>
    <t>Dolce &amp; Gabbana - Velvet Tender Oud U23</t>
  </si>
  <si>
    <t>Dolce &amp; Gabbana - Velvet Patchouli U22</t>
  </si>
  <si>
    <t>Dolce &amp; Gabbana - Velvet Desert Oud U21</t>
  </si>
  <si>
    <t>Creed - Jardin D'Amalfi U20</t>
  </si>
  <si>
    <t>Creed - Asian Green Tea U19</t>
  </si>
  <si>
    <t>Creed - Imperial Millesime U18</t>
  </si>
  <si>
    <t>Creed - Virgin Island Water U17</t>
  </si>
  <si>
    <t>Creed - Pure White Cologne U16</t>
  </si>
  <si>
    <t>Creed - Royal Oud U15</t>
  </si>
  <si>
    <t>Clive Christian - Amberwood U14</t>
  </si>
  <si>
    <t>By Kilian - Black Phantom U13</t>
  </si>
  <si>
    <t>By Kilian - Back To Black U12</t>
  </si>
  <si>
    <t>By Kilian - Angel's Share U11</t>
  </si>
  <si>
    <t>Bvlgari - Black Unisex U10</t>
  </si>
  <si>
    <t>Burberry - Touch Unisex U9</t>
  </si>
  <si>
    <t>Armani - Prive Musc Shamal U8</t>
  </si>
  <si>
    <t>Armani - Prive Encens Satin U7</t>
  </si>
  <si>
    <t>Armani - Prive Rouge Malachite U6</t>
  </si>
  <si>
    <t>Armani - Prive Vert Malachite U5</t>
  </si>
  <si>
    <t>Armani - Stronger With You Oud U4</t>
  </si>
  <si>
    <t>Amouage - Opus IV U3</t>
  </si>
  <si>
    <t>Amouage - Opus II U2</t>
  </si>
  <si>
    <t>Amouage - Opus V U1</t>
  </si>
  <si>
    <t>ATATÜRK'ÜN KOKUSU BOURJOIS - SOIR DE PARIS A∞</t>
  </si>
  <si>
    <t>E/K/U</t>
  </si>
  <si>
    <t>Erkek</t>
  </si>
  <si>
    <t>Kadın</t>
  </si>
  <si>
    <t>Unisex</t>
  </si>
  <si>
    <t>MALİYET</t>
  </si>
  <si>
    <t>CREATIVE FORMULAS</t>
  </si>
  <si>
    <t>VERİ NEREDEN ALINDI?</t>
  </si>
  <si>
    <t>DİĞER</t>
  </si>
  <si>
    <t>Amouage - Beach Hut E5</t>
  </si>
  <si>
    <t>FRAGNANTICA</t>
  </si>
  <si>
    <t>SCENT SAMPLES</t>
  </si>
  <si>
    <t>WIKIPARFUM</t>
  </si>
  <si>
    <t>Extrait de Parfum</t>
  </si>
  <si>
    <t>KALAN ESANS</t>
  </si>
  <si>
    <t>TOPLAM</t>
  </si>
  <si>
    <t>TOPLULUK</t>
  </si>
  <si>
    <t>Esans Fiyat</t>
  </si>
  <si>
    <t>Esans ML</t>
  </si>
  <si>
    <t>Su ML</t>
  </si>
  <si>
    <t>Alkol ML</t>
  </si>
  <si>
    <t>ALKOL Mik</t>
  </si>
  <si>
    <t>SU Mik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</si>
</sst>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 x14ac:knownFonts="1">
    <font>
      <sz val="11"/>
      <color theme="1"/>
      <name val="Calibri"/>
      <family val="2"/>
      <scheme val="minor"/>
    </font>
    <font>
      <b/>
      <sz val="12"/>
      <color rgb="FF435062"/>
      <name val="Cambria"/>
      <family val="1"/>
      <charset val="162"/>
    </font>
    <font>
      <b/>
      <sz val="11"/>
      <color theme="1"/>
      <name val="Calibri"/>
      <family val="2"/>
      <charset val="162"/>
      <scheme val="minor"/>
    </font>
    <font>
      <b/>
      <i/>
      <sz val="18"/>
      <color theme="1"/>
      <name val="Cambria"/>
      <family val="1"/>
      <charset val="162"/>
    </font>
    <font>
      <b/>
      <sz val="12"/>
      <name val="Cambria"/>
      <family val="1"/>
      <charset val="162"/>
    </font>
    <font>
      <sz val="8"/>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9"/>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63">
    <xf numFmtId="0" fontId="0" fillId="0" borderId="0" xfId="0"/>
    <xf numFmtId="0" fontId="0" fillId="0" borderId="0" xfId="0" applyAlignment="1">
      <alignment horizontal="left" vertical="center"/>
    </xf>
    <xf numFmtId="10" fontId="1" fillId="2" borderId="1" xfId="0" applyNumberFormat="1" applyFont="1" applyFill="1" applyBorder="1" applyAlignment="1" applyProtection="1">
      <alignment horizontal="left" vertical="center" wrapText="1"/>
      <protection locked="0"/>
    </xf>
    <xf numFmtId="10" fontId="1" fillId="4" borderId="1" xfId="0" applyNumberFormat="1" applyFont="1" applyFill="1" applyBorder="1" applyAlignment="1" applyProtection="1">
      <alignment horizontal="left" vertical="center" wrapText="1"/>
      <protection locked="0"/>
    </xf>
    <xf numFmtId="10" fontId="0" fillId="0" borderId="0" xfId="0" applyNumberFormat="1" applyAlignment="1" applyProtection="1">
      <alignment horizontal="left" vertical="center"/>
      <protection locked="0"/>
    </xf>
    <xf numFmtId="0" fontId="1" fillId="2" borderId="1" xfId="0" applyFont="1" applyFill="1" applyBorder="1" applyAlignment="1" applyProtection="1">
      <alignment horizontal="left" vertical="center" wrapText="1"/>
      <protection locked="0"/>
    </xf>
    <xf numFmtId="0" fontId="1" fillId="4" borderId="1" xfId="0" applyFont="1" applyFill="1" applyBorder="1" applyAlignment="1" applyProtection="1">
      <alignment horizontal="left" vertical="center" wrapText="1"/>
      <protection locked="0"/>
    </xf>
    <xf numFmtId="0" fontId="0" fillId="0" borderId="0" xfId="0" applyAlignment="1" applyProtection="1">
      <alignment horizontal="left" vertical="center"/>
      <protection locked="0"/>
    </xf>
    <xf numFmtId="10" fontId="1" fillId="2" borderId="1" xfId="0" applyNumberFormat="1" applyFont="1" applyFill="1" applyBorder="1" applyAlignment="1" applyProtection="1">
      <alignment horizontal="left" vertical="center" wrapText="1"/>
      <protection hidden="1"/>
    </xf>
    <xf numFmtId="10" fontId="1" fillId="4" borderId="1" xfId="0" applyNumberFormat="1" applyFont="1" applyFill="1" applyBorder="1" applyAlignment="1" applyProtection="1">
      <alignment horizontal="left" vertical="center" wrapText="1"/>
      <protection hidden="1"/>
    </xf>
    <xf numFmtId="10" fontId="0" fillId="0" borderId="0" xfId="0" applyNumberFormat="1" applyAlignment="1" applyProtection="1">
      <alignment horizontal="left" vertical="center"/>
      <protection hidden="1"/>
    </xf>
    <xf numFmtId="0" fontId="0" fillId="3" borderId="0" xfId="0" applyFill="1"/>
    <xf numFmtId="0" fontId="2" fillId="3" borderId="0" xfId="0" applyFont="1" applyFill="1" applyProtection="1">
      <protection locked="0"/>
    </xf>
    <xf numFmtId="0" fontId="3" fillId="3" borderId="2" xfId="0" applyFont="1" applyFill="1" applyBorder="1" applyProtection="1">
      <protection locked="0"/>
    </xf>
    <xf numFmtId="0" fontId="3" fillId="3" borderId="2" xfId="0" applyFont="1" applyFill="1" applyBorder="1"/>
    <xf numFmtId="10" fontId="0" fillId="3" borderId="0" xfId="0" applyNumberFormat="1" applyFill="1" applyAlignment="1" applyProtection="1">
      <alignment horizontal="left" vertical="center"/>
      <protection locked="0"/>
    </xf>
    <xf numFmtId="10" fontId="0" fillId="3" borderId="0" xfId="0" applyNumberFormat="1" applyFill="1" applyAlignment="1" applyProtection="1">
      <alignment horizontal="left" vertical="center"/>
      <protection hidden="1"/>
    </xf>
    <xf numFmtId="0" fontId="0" fillId="3" borderId="0" xfId="0" applyFill="1" applyAlignment="1" applyProtection="1">
      <alignment horizontal="left" vertical="center"/>
      <protection locked="0"/>
    </xf>
    <xf numFmtId="0" fontId="1" fillId="2" borderId="3" xfId="0" applyFont="1" applyFill="1" applyBorder="1" applyAlignment="1" applyProtection="1">
      <alignment horizontal="left" vertical="center" wrapText="1"/>
      <protection locked="0"/>
    </xf>
    <xf numFmtId="0" fontId="1" fillId="2" borderId="4"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4" borderId="8" xfId="0" applyFont="1" applyFill="1" applyBorder="1" applyAlignment="1">
      <alignment horizontal="left" vertical="center" wrapText="1"/>
    </xf>
    <xf numFmtId="10" fontId="1" fillId="4" borderId="9" xfId="0" applyNumberFormat="1" applyFont="1" applyFill="1" applyBorder="1" applyAlignment="1" applyProtection="1">
      <alignment horizontal="left" vertical="center" wrapText="1"/>
      <protection locked="0"/>
    </xf>
    <xf numFmtId="10" fontId="1" fillId="4" borderId="9" xfId="0" applyNumberFormat="1" applyFont="1" applyFill="1" applyBorder="1" applyAlignment="1" applyProtection="1">
      <alignment horizontal="left" vertical="center" wrapText="1"/>
      <protection hidden="1"/>
    </xf>
    <xf numFmtId="0" fontId="1" fillId="4" borderId="9" xfId="0" applyFont="1" applyFill="1" applyBorder="1" applyAlignment="1" applyProtection="1">
      <alignment horizontal="left" vertical="center" wrapText="1"/>
      <protection locked="0"/>
    </xf>
    <xf numFmtId="0" fontId="4" fillId="5" borderId="5" xfId="0" applyFont="1" applyFill="1" applyBorder="1" applyAlignment="1" applyProtection="1">
      <alignment horizontal="left" vertical="center"/>
      <protection locked="0"/>
    </xf>
    <xf numFmtId="164" fontId="4" fillId="5" borderId="6" xfId="0" applyNumberFormat="1" applyFont="1" applyFill="1" applyBorder="1" applyAlignment="1" applyProtection="1">
      <alignment horizontal="left" vertical="center"/>
      <protection locked="0"/>
    </xf>
    <xf numFmtId="10" fontId="4" fillId="5" borderId="6" xfId="0" applyNumberFormat="1" applyFont="1" applyFill="1" applyBorder="1" applyAlignment="1" applyProtection="1">
      <alignment horizontal="left" vertical="center"/>
      <protection locked="0"/>
    </xf>
    <xf numFmtId="0" fontId="4" fillId="5" borderId="6" xfId="0" applyFont="1" applyFill="1" applyBorder="1" applyAlignment="1" applyProtection="1">
      <alignment horizontal="left" vertical="center"/>
      <protection locked="0"/>
    </xf>
    <xf numFmtId="0" fontId="4" fillId="5" borderId="7" xfId="0" applyFont="1" applyFill="1" applyBorder="1" applyAlignment="1" applyProtection="1">
      <alignment horizontal="left" vertical="center"/>
      <protection locked="0"/>
    </xf>
    <xf numFmtId="0" fontId="1" fillId="6" borderId="4" xfId="0" applyFont="1" applyFill="1" applyBorder="1" applyAlignment="1">
      <alignment horizontal="left" vertical="center" wrapText="1"/>
    </xf>
    <xf numFmtId="10" fontId="1" fillId="6" borderId="1" xfId="0" applyNumberFormat="1" applyFont="1" applyFill="1" applyBorder="1" applyAlignment="1" applyProtection="1">
      <alignment horizontal="left" vertical="center" wrapText="1"/>
      <protection locked="0"/>
    </xf>
    <xf numFmtId="10" fontId="1" fillId="6" borderId="1" xfId="0" applyNumberFormat="1" applyFont="1" applyFill="1" applyBorder="1" applyAlignment="1" applyProtection="1">
      <alignment horizontal="left" vertical="center" wrapText="1"/>
      <protection hidden="1"/>
    </xf>
    <xf numFmtId="0" fontId="1" fillId="6" borderId="1" xfId="0" applyFont="1" applyFill="1" applyBorder="1" applyAlignment="1" applyProtection="1">
      <alignment horizontal="left" vertical="center" wrapText="1"/>
      <protection locked="0"/>
    </xf>
    <xf numFmtId="0" fontId="1" fillId="6" borderId="3" xfId="0" applyFont="1" applyFill="1" applyBorder="1" applyAlignment="1" applyProtection="1">
      <alignment horizontal="left" vertical="center" wrapText="1"/>
      <protection locked="0"/>
    </xf>
    <xf numFmtId="10" fontId="4" fillId="5" borderId="6" xfId="0" applyNumberFormat="1" applyFont="1" applyFill="1" applyBorder="1" applyAlignment="1" applyProtection="1">
      <alignment horizontal="left" vertical="center"/>
      <protection hidden="1"/>
    </xf>
    <xf numFmtId="164" fontId="1" fillId="6" borderId="1" xfId="0" applyNumberFormat="1" applyFont="1" applyFill="1" applyBorder="1" applyAlignment="1" applyProtection="1">
      <alignment horizontal="left" vertical="center" wrapText="1"/>
      <protection locked="0"/>
    </xf>
    <xf numFmtId="164" fontId="1" fillId="4" borderId="1" xfId="0" applyNumberFormat="1" applyFont="1" applyFill="1" applyBorder="1" applyAlignment="1" applyProtection="1">
      <alignment horizontal="left" vertical="center" wrapText="1"/>
      <protection locked="0"/>
    </xf>
    <xf numFmtId="164" fontId="1" fillId="4" borderId="9" xfId="0" applyNumberFormat="1" applyFont="1" applyFill="1" applyBorder="1" applyAlignment="1" applyProtection="1">
      <alignment horizontal="left" vertical="center" wrapText="1"/>
      <protection locked="0"/>
    </xf>
    <xf numFmtId="164" fontId="0" fillId="3" borderId="0" xfId="0" applyNumberFormat="1" applyFill="1" applyAlignment="1" applyProtection="1">
      <alignment horizontal="left" vertical="center"/>
      <protection locked="0"/>
    </xf>
    <xf numFmtId="164" fontId="0" fillId="0" borderId="0" xfId="0" applyNumberFormat="1" applyAlignment="1" applyProtection="1">
      <alignment horizontal="left" vertical="center"/>
      <protection locked="0"/>
    </xf>
    <xf numFmtId="0" fontId="0" fillId="3" borderId="0" xfId="0" applyFill="1" applyAlignment="1">
      <alignment horizontal="center" vertical="center"/>
    </xf>
    <xf numFmtId="164" fontId="1" fillId="2" borderId="1" xfId="0" applyNumberFormat="1" applyFont="1" applyFill="1" applyBorder="1" applyAlignment="1" applyProtection="1">
      <alignment horizontal="left" vertical="center" wrapText="1"/>
      <protection locked="0"/>
    </xf>
    <xf numFmtId="0" fontId="4" fillId="5" borderId="6" xfId="0" applyFont="1" applyFill="1" applyBorder="1" applyAlignment="1" applyProtection="1">
      <alignment horizontal="center" vertical="center"/>
      <protection locked="0"/>
    </xf>
    <xf numFmtId="0" fontId="1" fillId="6" borderId="1"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4" borderId="9" xfId="0" applyFont="1" applyFill="1" applyBorder="1" applyAlignment="1" applyProtection="1">
      <alignment horizontal="center" vertical="center" wrapText="1"/>
      <protection locked="0"/>
    </xf>
    <xf numFmtId="0" fontId="0" fillId="3" borderId="0" xfId="0" applyFill="1" applyAlignment="1" applyProtection="1">
      <alignment horizontal="center" vertical="center"/>
      <protection locked="0"/>
    </xf>
    <xf numFmtId="0" fontId="0" fillId="0" borderId="0" xfId="0" applyAlignment="1" applyProtection="1">
      <alignment horizontal="center" vertical="center"/>
      <protection locked="0"/>
    </xf>
    <xf numFmtId="0" fontId="4" fillId="5" borderId="6"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0" fillId="0" borderId="0" xfId="0" applyAlignment="1">
      <alignment horizontal="center" vertical="center"/>
    </xf>
    <xf numFmtId="164" fontId="4" fillId="5" borderId="6" xfId="0" applyNumberFormat="1" applyFont="1" applyFill="1" applyBorder="1" applyAlignment="1">
      <alignment horizontal="center" vertical="center"/>
    </xf>
    <xf numFmtId="164" fontId="1" fillId="6"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64" fontId="1" fillId="4" borderId="1" xfId="0" applyNumberFormat="1" applyFont="1" applyFill="1" applyBorder="1" applyAlignment="1">
      <alignment horizontal="center" vertical="center" wrapText="1"/>
    </xf>
    <xf numFmtId="164" fontId="1" fillId="4" borderId="9" xfId="0" applyNumberFormat="1" applyFont="1" applyFill="1" applyBorder="1" applyAlignment="1">
      <alignment horizontal="center" vertical="center" wrapText="1"/>
    </xf>
    <xf numFmtId="164" fontId="0" fillId="3" borderId="0" xfId="0" applyNumberFormat="1" applyFill="1" applyAlignment="1">
      <alignment horizontal="center" vertical="center"/>
    </xf>
    <xf numFmtId="164" fontId="0" fillId="0" borderId="0" xfId="0" applyNumberFormat="1" applyAlignment="1">
      <alignment horizontal="center" vertical="center"/>
    </xf>
  </cellXfs>
  <cellStyles count="1">
    <cellStyle name="Normal" xfId="0" builtinId="0"/>
  </cellStyles>
  <dxfs count="21">
    <dxf>
      <font>
        <color rgb="FF9C0006"/>
      </font>
      <fill>
        <patternFill>
          <bgColor rgb="FFFFC7CE"/>
        </patternFill>
      </fill>
    </dxf>
    <dxf>
      <font>
        <b/>
        <i val="0"/>
        <strike val="0"/>
        <condense val="0"/>
        <extend val="0"/>
        <outline val="0"/>
        <shadow val="0"/>
        <u val="none"/>
        <vertAlign val="baseline"/>
        <sz val="12"/>
        <color rgb="FF435062"/>
        <name val="Cambria"/>
        <family val="1"/>
        <charset val="16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2"/>
        <color rgb="FF435062"/>
        <name val="Cambria"/>
        <family val="1"/>
        <charset val="16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2"/>
        <color rgb="FF435062"/>
        <name val="Cambria"/>
        <family val="1"/>
        <charset val="16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2"/>
        <color rgb="FF435062"/>
        <name val="Cambria"/>
        <family val="1"/>
        <charset val="162"/>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rgb="FF435062"/>
        <name val="Cambria"/>
        <family val="1"/>
        <charset val="16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2"/>
        <color rgb="FF435062"/>
        <name val="Cambria"/>
        <family val="1"/>
        <charset val="16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2"/>
        <color rgb="FF435062"/>
        <name val="Cambria"/>
        <family val="1"/>
        <charset val="16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2"/>
        <color rgb="FF435062"/>
        <name val="Cambria"/>
        <family val="1"/>
        <charset val="162"/>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2"/>
        <color rgb="FF435062"/>
        <name val="Cambria"/>
        <family val="1"/>
        <charset val="162"/>
        <scheme val="none"/>
      </font>
      <numFmt numFmtId="164" formatCode="&quot;₺&quot;#,##0.00"/>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2"/>
        <color rgb="FF435062"/>
        <name val="Cambria"/>
        <family val="1"/>
        <charset val="162"/>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2"/>
        <color rgb="FF435062"/>
        <name val="Cambria"/>
        <family val="1"/>
        <charset val="162"/>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2"/>
        <color rgb="FF435062"/>
        <name val="Cambria"/>
        <family val="1"/>
        <charset val="162"/>
        <scheme val="none"/>
      </font>
      <numFmt numFmtId="14" formatCode="0.00%"/>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i val="0"/>
        <strike val="0"/>
        <condense val="0"/>
        <extend val="0"/>
        <outline val="0"/>
        <shadow val="0"/>
        <u val="none"/>
        <vertAlign val="baseline"/>
        <sz val="12"/>
        <color rgb="FF435062"/>
        <name val="Cambria"/>
        <family val="1"/>
        <charset val="162"/>
        <scheme val="none"/>
      </font>
      <numFmt numFmtId="14" formatCode="0.00%"/>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2"/>
        <color rgb="FF435062"/>
        <name val="Cambria"/>
        <family val="1"/>
        <charset val="162"/>
        <scheme val="none"/>
      </font>
      <numFmt numFmtId="14" formatCode="0.00%"/>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2"/>
        <color rgb="FF435062"/>
        <name val="Cambria"/>
        <family val="1"/>
        <charset val="162"/>
        <scheme val="none"/>
      </font>
      <numFmt numFmtId="164" formatCode="&quot;₺&quot;#,##0.00"/>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rgb="FF435062"/>
        <name val="Cambria"/>
        <family val="1"/>
        <charset val="162"/>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Cambria"/>
        <family val="1"/>
        <charset val="162"/>
        <scheme val="none"/>
      </font>
      <fill>
        <patternFill patternType="solid">
          <fgColor indexed="64"/>
          <bgColor theme="9"/>
        </patternFill>
      </fill>
      <alignment horizontal="left" vertical="center" textRotation="0" wrapText="0"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colors>
    <mruColors>
      <color rgb="FFFF6D6D"/>
      <color rgb="FFFF0000"/>
      <color rgb="FFFCD6FA"/>
      <color rgb="FFFFC5E2"/>
      <color rgb="FFFF99CC"/>
      <color rgb="FFFF6699"/>
      <color rgb="FFFF3399"/>
      <color rgb="FFE494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s://x.com/azizinpaltosu" TargetMode="External"/></Relationships>
</file>

<file path=xl/drawings/drawing1.xml><?xml version="1.0" encoding="utf-8"?>
<xdr:wsDr xmlns:xdr="http://schemas.openxmlformats.org/drawingml/2006/spreadsheetDrawing" xmlns:a="http://schemas.openxmlformats.org/drawingml/2006/main">
  <xdr:oneCellAnchor>
    <xdr:from>
      <xdr:col>16</xdr:col>
      <xdr:colOff>30492</xdr:colOff>
      <xdr:row>0</xdr:row>
      <xdr:rowOff>0</xdr:rowOff>
    </xdr:from>
    <xdr:ext cx="3084979" cy="7194176"/>
    <xdr:sp macro="" textlink="">
      <xdr:nvSpPr>
        <xdr:cNvPr id="2" name="Metin kutusu 1">
          <a:hlinkClick xmlns:r="http://schemas.openxmlformats.org/officeDocument/2006/relationships" r:id="rId1"/>
          <a:extLst>
            <a:ext uri="{FF2B5EF4-FFF2-40B4-BE49-F238E27FC236}">
              <a16:creationId xmlns:a16="http://schemas.microsoft.com/office/drawing/2014/main" id="{5AB1F948-506A-59E6-E00E-CD01FC3E6A8E}"/>
            </a:ext>
          </a:extLst>
        </xdr:cNvPr>
        <xdr:cNvSpPr txBox="1"/>
      </xdr:nvSpPr>
      <xdr:spPr>
        <a:xfrm>
          <a:off x="14511543" y="0"/>
          <a:ext cx="3084979" cy="7194176"/>
        </a:xfrm>
        <a:prstGeom prst="rect">
          <a:avLst/>
        </a:prstGeom>
        <a:solidFill>
          <a:schemeClr val="accent4">
            <a:lumMod val="40000"/>
            <a:lumOff val="60000"/>
          </a:schemeClr>
        </a:solidFill>
        <a:effectLst>
          <a:glow rad="228600">
            <a:schemeClr val="accent4">
              <a:satMod val="17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tr-TR" sz="1800" b="1" u="sng" kern="1200" baseline="0">
              <a:latin typeface="Cambria" panose="02040503050406030204" pitchFamily="18" charset="0"/>
              <a:ea typeface="Cambria" panose="02040503050406030204" pitchFamily="18" charset="0"/>
            </a:rPr>
            <a:t>AÇIKLAMALAR</a:t>
          </a:r>
        </a:p>
        <a:p>
          <a:pPr algn="l"/>
          <a:r>
            <a:rPr lang="tr-TR" sz="1200" b="1" kern="1200" baseline="0">
              <a:latin typeface="Cambria" panose="02040503050406030204" pitchFamily="18" charset="0"/>
              <a:ea typeface="Cambria" panose="02040503050406030204" pitchFamily="18" charset="0"/>
            </a:rPr>
            <a:t>1- ESANS VE SU ORANLARINI KENDİ FORMÜLASYONUNUZA GÖRE GÜNCELLEYEBİLİRSİNİZ.ALKOL ORANI ESANS VE SU ORANINA GÖRE OTOMATİK OLARAK DEĞİŞECEKTİR. ESANS, SU VE ALKOL ML CİNSİNDEN NE KADAR KULLANACAĞINIZ SAĞ SÜTUNDA OTOMATİK OLARAK GÖSTERİLMİŞTİR.</a:t>
          </a:r>
          <a:br>
            <a:rPr lang="tr-TR" sz="1200" b="1" kern="1200" baseline="0">
              <a:latin typeface="Cambria" panose="02040503050406030204" pitchFamily="18" charset="0"/>
              <a:ea typeface="Cambria" panose="02040503050406030204" pitchFamily="18" charset="0"/>
            </a:rPr>
          </a:br>
          <a:endParaRPr lang="tr-TR" sz="1200" b="1" kern="1200" baseline="0">
            <a:latin typeface="Cambria" panose="02040503050406030204" pitchFamily="18" charset="0"/>
            <a:ea typeface="Cambria" panose="02040503050406030204" pitchFamily="18" charset="0"/>
          </a:endParaRPr>
        </a:p>
        <a:p>
          <a:r>
            <a:rPr lang="tr-TR" sz="1200" b="1" kern="1200" baseline="0">
              <a:latin typeface="Cambria" panose="02040503050406030204" pitchFamily="18" charset="0"/>
              <a:ea typeface="Cambria" panose="02040503050406030204" pitchFamily="18" charset="0"/>
            </a:rPr>
            <a:t>2- MALİYET İÇİN ÖNCE ESANS FİYAT KISMINA ESANS FİYATINIZI YAZINIZ. VERİ SAYFASINDA GİRİŞ YAPTIĞINIZ KENDİ VERİLERİNİZE GÖRE OTOMATİK OLARAK MALİYET HESAPLANACAKTIR. </a:t>
          </a:r>
        </a:p>
        <a:p>
          <a:endParaRPr lang="tr-TR" sz="1200" b="1" kern="1200" baseline="0">
            <a:latin typeface="Cambria" panose="02040503050406030204" pitchFamily="18" charset="0"/>
            <a:ea typeface="Cambria" panose="02040503050406030204" pitchFamily="18" charset="0"/>
          </a:endParaRPr>
        </a:p>
        <a:p>
          <a:r>
            <a:rPr lang="tr-TR" sz="1200" b="1" kern="1200" baseline="0">
              <a:latin typeface="Cambria" panose="02040503050406030204" pitchFamily="18" charset="0"/>
              <a:ea typeface="Cambria" panose="02040503050406030204" pitchFamily="18" charset="0"/>
            </a:rPr>
            <a:t>3- FİLTRE SEKMESİNDEN KENDİ YAPACAĞINIZ PARFÜMLERİ ARAYARAK İŞARETLEYEBİLİR SADECE ONLAR ÜZERİNDE ÇALIŞABİLİRSİNİZ.</a:t>
          </a:r>
        </a:p>
        <a:p>
          <a:endParaRPr lang="tr-TR" sz="1200" b="1" kern="1200">
            <a:latin typeface="Cambria" panose="02040503050406030204" pitchFamily="18" charset="0"/>
            <a:ea typeface="Cambria" panose="02040503050406030204" pitchFamily="18" charset="0"/>
          </a:endParaRPr>
        </a:p>
        <a:p>
          <a:r>
            <a:rPr lang="tr-TR" sz="1200" b="1" kern="1200">
              <a:latin typeface="Cambria" panose="02040503050406030204" pitchFamily="18" charset="0"/>
              <a:ea typeface="Cambria" panose="02040503050406030204" pitchFamily="18" charset="0"/>
            </a:rPr>
            <a:t>4- BURADAKİ BİLGİLER</a:t>
          </a:r>
          <a:r>
            <a:rPr lang="tr-TR" sz="1200" b="1" kern="1200" baseline="0">
              <a:latin typeface="Cambria" panose="02040503050406030204" pitchFamily="18" charset="0"/>
              <a:ea typeface="Cambria" panose="02040503050406030204" pitchFamily="18" charset="0"/>
            </a:rPr>
            <a:t> "CREATIVE FORMULAS, FRAGRANTICA, WIKIPARFUM" SİTELERİNDEN ALINMIŞTIR. ORANLAR %15-20 GÖSTERMESİ DURUMUNDA ORTALAMA DEĞER GİRİLMİŞTİR. BİLGİLERİN NEREDEN ALINDIĞI SEKMEDE YAZMAKTADIR.</a:t>
          </a:r>
        </a:p>
        <a:p>
          <a:endParaRPr lang="tr-TR" sz="1200" b="1" kern="1200">
            <a:latin typeface="Cambria" panose="02040503050406030204" pitchFamily="18" charset="0"/>
            <a:ea typeface="Cambria" panose="02040503050406030204" pitchFamily="18" charset="0"/>
          </a:endParaRPr>
        </a:p>
        <a:p>
          <a:r>
            <a:rPr lang="tr-TR" sz="1200" b="1" kern="1200">
              <a:latin typeface="Cambria" panose="02040503050406030204" pitchFamily="18" charset="0"/>
              <a:ea typeface="Cambria" panose="02040503050406030204" pitchFamily="18" charset="0"/>
            </a:rPr>
            <a:t>5- İÇERİĞİNDE HERHANGİ BİR DERİ NOTASI</a:t>
          </a:r>
          <a:r>
            <a:rPr lang="tr-TR" sz="1200" b="1" kern="1200" baseline="0">
              <a:latin typeface="Cambria" panose="02040503050406030204" pitchFamily="18" charset="0"/>
              <a:ea typeface="Cambria" panose="02040503050406030204" pitchFamily="18" charset="0"/>
            </a:rPr>
            <a:t> </a:t>
          </a:r>
          <a:r>
            <a:rPr lang="tr-TR" sz="1200" b="1" kern="1200">
              <a:latin typeface="Cambria" panose="02040503050406030204" pitchFamily="18" charset="0"/>
              <a:ea typeface="Cambria" panose="02040503050406030204" pitchFamily="18" charset="0"/>
            </a:rPr>
            <a:t>BULUNAN ESANSLARDA SU ORANI %0</a:t>
          </a:r>
          <a:r>
            <a:rPr lang="tr-TR" sz="1200" b="1" kern="1200" baseline="0">
              <a:latin typeface="Cambria" panose="02040503050406030204" pitchFamily="18" charset="0"/>
              <a:ea typeface="Cambria" panose="02040503050406030204" pitchFamily="18" charset="0"/>
            </a:rPr>
            <a:t> OLARAK BELİRLENMİŞ OLUP GERİ KALANLARDA  %4 STANDART OLARAK ALINMIŞTIR. TÜM ESANSLAR TEK TEK KONTROL EDİLMİŞTİR. </a:t>
          </a:r>
          <a:br>
            <a:rPr lang="tr-TR" sz="1200" b="1" kern="1200" baseline="0">
              <a:latin typeface="Cambria" panose="02040503050406030204" pitchFamily="18" charset="0"/>
              <a:ea typeface="Cambria" panose="02040503050406030204" pitchFamily="18" charset="0"/>
            </a:rPr>
          </a:br>
          <a:endParaRPr lang="tr-TR" sz="1200" b="1" kern="1200" baseline="0">
            <a:latin typeface="Cambria" panose="02040503050406030204" pitchFamily="18" charset="0"/>
            <a:ea typeface="Cambria" panose="02040503050406030204" pitchFamily="18" charset="0"/>
          </a:endParaRPr>
        </a:p>
        <a:p>
          <a:pPr algn="r"/>
          <a:r>
            <a:rPr lang="tr-TR" sz="1200" b="1" i="1" kern="1200" baseline="0">
              <a:latin typeface="Cambria" panose="02040503050406030204" pitchFamily="18" charset="0"/>
              <a:ea typeface="Cambria" panose="02040503050406030204" pitchFamily="18" charset="0"/>
            </a:rPr>
            <a:t>	-@azizinpaltosu</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BDD85E-9E53-47ED-BE57-FC363545E740}" name="Tablo1" displayName="Tablo1" ref="A1:P761" totalsRowShown="0" headerRowDxfId="20" headerRowBorderDxfId="19" tableBorderDxfId="18" totalsRowBorderDxfId="17">
  <autoFilter ref="A1:P761" xr:uid="{0CBDD85E-9E53-47ED-BE57-FC363545E740}"/>
  <tableColumns count="16">
    <tableColumn id="1" xr3:uid="{84214FF3-55F0-4E90-ACE1-50426B69E8C4}" name="Parfüm" dataDxfId="16"/>
    <tableColumn id="2" xr3:uid="{ED491B9F-3AF6-4820-A4DE-BCC6AB68B461}" name="Esans Fiyat" dataDxfId="15"/>
    <tableColumn id="3" xr3:uid="{CFE5226D-46A7-48DA-8A98-EE3E188F97D4}" name="Esans" dataDxfId="14"/>
    <tableColumn id="4" xr3:uid="{8D5841D9-5926-4FD0-95E2-CA24CB24DDCD}" name="Su" dataDxfId="13"/>
    <tableColumn id="5" xr3:uid="{82C537B0-7264-425C-841D-03772346FC75}" name="Alkol" dataDxfId="12">
      <calculatedColumnFormula>1-D2-C2</calculatedColumnFormula>
    </tableColumn>
    <tableColumn id="6" xr3:uid="{1B494321-A20D-41BA-B5E1-A0653B222786}" name="Esans Tipi" dataDxfId="11"/>
    <tableColumn id="7" xr3:uid="{E039D07A-EDE6-4892-AB44-1AB6196B4FF8}" name="E/K/U" dataDxfId="10"/>
    <tableColumn id="9" xr3:uid="{5EBBED2C-F776-4103-9C83-B3FDB223EA98}" name="MALİYET" dataDxfId="9">
      <calculatedColumnFormula>((Tablo1[[#This Row],[Esans Fiyat]]/#REF!*Tablo1[[#This Row],[Esans]]*100)+(#REF!/1000*Tablo1[[#This Row],[Su]]*100)+(#REF!/1000*Tablo1[[#This Row],[Alkol]]*100))*(#REF!/100)+#REF!</calculatedColumnFormula>
    </tableColumn>
    <tableColumn id="10" xr3:uid="{8C9EF44E-0C1A-41E3-B2E1-32C4D6165137}" name="VERİ NEREDEN ALINDI?" dataDxfId="8"/>
    <tableColumn id="15" xr3:uid="{85C68BF6-2A48-4895-B951-9AC874A98B8D}" name="Esans ML" dataDxfId="7">
      <calculatedColumnFormula>#REF!*Tablo1[[#This Row],[Esans]]</calculatedColumnFormula>
    </tableColumn>
    <tableColumn id="16" xr3:uid="{11ABB25F-8F0C-4138-8B14-9FDFCAF63829}" name="Su ML" dataDxfId="6">
      <calculatedColumnFormula>#REF!*Tablo1[[#This Row],[Su]]</calculatedColumnFormula>
    </tableColumn>
    <tableColumn id="17" xr3:uid="{5F0A2782-55AF-4F90-88A4-3806F0D7BCEC}" name="Alkol ML" dataDxfId="5">
      <calculatedColumnFormula>#REF!*Tablo1[[#This Row],[Alkol]]</calculatedColumnFormula>
    </tableColumn>
    <tableColumn id="11" xr3:uid="{7654259C-AC5F-480E-B5C7-AFA4CB0830B1}" name="KALAN ESANS" dataDxfId="4"/>
    <tableColumn id="12" xr3:uid="{F3AC2EC3-1703-4DDA-A434-0EEE94F5DD3C}" name="ALKOL Mik" dataDxfId="3">
      <calculatedColumnFormula>(Tablo1[[#This Row],[KALAN ESANS]]/Tablo1[[#This Row],[Esans]]*0.01)*(Tablo1[[#This Row],[Alkol]]*100)</calculatedColumnFormula>
    </tableColumn>
    <tableColumn id="13" xr3:uid="{B61A4E2C-9DF3-45ED-BAA5-DDE7994489B7}" name="SU Mik" dataDxfId="2">
      <calculatedColumnFormula>(Tablo1[[#This Row],[KALAN ESANS]]/Tablo1[[#This Row],[Esans]]*0.01)*(Tablo1[[#This Row],[Su]]*100)</calculatedColumnFormula>
    </tableColumn>
    <tableColumn id="14" xr3:uid="{9B79931E-9C16-4F33-B082-86A94059F161}" name="TOPLAM" dataDxfId="1">
      <calculatedColumnFormula>Tablo1[[#This Row],[KALAN ESANS]]+Tablo1[[#This Row],[ALKOL Mik]]+Tablo1[[#This Row],[SU Mik]]</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57FF2-FFD6-40F9-AE51-1A5F9EDDEE9F}">
  <dimension ref="A1:V799"/>
  <sheetViews>
    <sheetView tabSelected="1" topLeftCell="F392" zoomScaleNormal="100" workbookViewId="0">
      <selection activeCell="V20" sqref="V20"/>
    </sheetView>
  </sheetViews>
  <sheetFormatPr defaultRowHeight="15" customHeight="1" x14ac:dyDescent="0.2"/>
  <cols>
    <col min="1" max="1" width="50.17578125" style="1" customWidth="1"/>
    <col min="2" max="2" width="15.46875" style="40" bestFit="1" customWidth="1"/>
    <col min="3" max="3" width="10.35546875" style="4" customWidth="1"/>
    <col min="4" max="4" width="7.93359375" style="4" bestFit="1" customWidth="1"/>
    <col min="5" max="5" width="10.89453125" style="10" customWidth="1"/>
    <col min="6" max="6" width="20.3125" style="7" bestFit="1" customWidth="1"/>
    <col min="7" max="7" width="10.0859375" style="7" customWidth="1"/>
    <col min="8" max="8" width="13.31640625" style="62" customWidth="1"/>
    <col min="9" max="9" width="29.59375" style="7" customWidth="1"/>
    <col min="10" max="10" width="13.44921875" style="55" bestFit="1" customWidth="1"/>
    <col min="11" max="11" width="9.953125" style="55" bestFit="1" customWidth="1"/>
    <col min="12" max="12" width="12.9140625" style="55" bestFit="1" customWidth="1"/>
    <col min="13" max="13" width="18.16015625" style="49" hidden="1" customWidth="1"/>
    <col min="14" max="14" width="15.33203125" style="55" hidden="1" customWidth="1"/>
    <col min="15" max="15" width="10.89453125" style="55" hidden="1" customWidth="1"/>
    <col min="16" max="16" width="12.64453125" style="55" hidden="1" customWidth="1"/>
    <col min="17" max="17" width="10.76171875" style="11" customWidth="1"/>
    <col min="18" max="22" width="9.14453125" style="11"/>
  </cols>
  <sheetData>
    <row r="1" spans="1:17" s="12" customFormat="1" ht="15" customHeight="1" x14ac:dyDescent="0.25">
      <c r="A1" s="25" t="s">
        <v>22</v>
      </c>
      <c r="B1" s="26" t="s">
        <v>783</v>
      </c>
      <c r="C1" s="27" t="s">
        <v>532</v>
      </c>
      <c r="D1" s="27" t="s">
        <v>322</v>
      </c>
      <c r="E1" s="35" t="s">
        <v>531</v>
      </c>
      <c r="F1" s="28" t="s">
        <v>23</v>
      </c>
      <c r="G1" s="29" t="s">
        <v>767</v>
      </c>
      <c r="H1" s="56" t="s">
        <v>771</v>
      </c>
      <c r="I1" s="28" t="s">
        <v>773</v>
      </c>
      <c r="J1" s="50" t="s">
        <v>784</v>
      </c>
      <c r="K1" s="50" t="s">
        <v>785</v>
      </c>
      <c r="L1" s="50" t="s">
        <v>786</v>
      </c>
      <c r="M1" s="43" t="s">
        <v>780</v>
      </c>
      <c r="N1" s="50" t="s">
        <v>787</v>
      </c>
      <c r="O1" s="50" t="s">
        <v>788</v>
      </c>
      <c r="P1" s="50" t="s">
        <v>781</v>
      </c>
      <c r="Q1" s="13"/>
    </row>
    <row r="2" spans="1:17" ht="15" customHeight="1" x14ac:dyDescent="0.25">
      <c r="A2" s="30" t="s">
        <v>260</v>
      </c>
      <c r="B2" s="36"/>
      <c r="C2" s="31">
        <v>0.04</v>
      </c>
      <c r="D2" s="31">
        <v>0.02</v>
      </c>
      <c r="E2" s="32">
        <f>1-D2-C2</f>
        <v>0.94</v>
      </c>
      <c r="F2" s="33" t="s">
        <v>38</v>
      </c>
      <c r="G2" s="34" t="s">
        <v>768</v>
      </c>
      <c r="H2" s="57" t="e">
        <f>((Tablo1[[#This Row],[Esans Fiyat]]/#REF!*Tablo1[[#This Row],[Esans]]*100)+(#REF!/1000*Tablo1[[#This Row],[Su]]*100)+(#REF!/1000*Tablo1[[#This Row],[Alkol]]*100))*(#REF!/100)+#REF!</f>
        <v>#REF!</v>
      </c>
      <c r="I2" s="33" t="s">
        <v>774</v>
      </c>
      <c r="J2" s="51" t="e">
        <f>#REF!*Tablo1[[#This Row],[Esans]]</f>
        <v>#REF!</v>
      </c>
      <c r="K2" s="51" t="e">
        <f>#REF!*Tablo1[[#This Row],[Su]]</f>
        <v>#REF!</v>
      </c>
      <c r="L2" s="51" t="e">
        <f>#REF!*Tablo1[[#This Row],[Alkol]]</f>
        <v>#REF!</v>
      </c>
      <c r="M2" s="44">
        <v>2</v>
      </c>
      <c r="N2" s="51">
        <f>(Tablo1[[#This Row],[KALAN ESANS]]/Tablo1[[#This Row],[Esans]]*0.01)*(Tablo1[[#This Row],[Alkol]]*100)</f>
        <v>47</v>
      </c>
      <c r="O2" s="51">
        <f>(Tablo1[[#This Row],[KALAN ESANS]]/Tablo1[[#This Row],[Esans]]*0.01)*(Tablo1[[#This Row],[Su]]*100)</f>
        <v>1</v>
      </c>
      <c r="P2" s="51">
        <f>Tablo1[[#This Row],[KALAN ESANS]]+Tablo1[[#This Row],[ALKOL Mik]]+Tablo1[[#This Row],[SU Mik]]</f>
        <v>50</v>
      </c>
      <c r="Q2" s="14"/>
    </row>
    <row r="3" spans="1:17" ht="15" customHeight="1" x14ac:dyDescent="0.2">
      <c r="A3" s="30" t="s">
        <v>259</v>
      </c>
      <c r="B3" s="36"/>
      <c r="C3" s="31">
        <v>0.04</v>
      </c>
      <c r="D3" s="31">
        <v>0.02</v>
      </c>
      <c r="E3" s="32">
        <f>1-D3-C3</f>
        <v>0.94</v>
      </c>
      <c r="F3" s="33" t="s">
        <v>38</v>
      </c>
      <c r="G3" s="34" t="s">
        <v>768</v>
      </c>
      <c r="H3" s="57" t="e">
        <f>((Tablo1[[#This Row],[Esans Fiyat]]/#REF!*Tablo1[[#This Row],[Esans]]*100)+(#REF!/1000*Tablo1[[#This Row],[Su]]*100)+(#REF!/1000*Tablo1[[#This Row],[Alkol]]*100))*(#REF!/100)+#REF!</f>
        <v>#REF!</v>
      </c>
      <c r="I3" s="33" t="s">
        <v>776</v>
      </c>
      <c r="J3" s="51" t="e">
        <f>#REF!*Tablo1[[#This Row],[Esans]]</f>
        <v>#REF!</v>
      </c>
      <c r="K3" s="51" t="e">
        <f>#REF!*Tablo1[[#This Row],[Su]]</f>
        <v>#REF!</v>
      </c>
      <c r="L3" s="51" t="e">
        <f>#REF!*Tablo1[[#This Row],[Alkol]]</f>
        <v>#REF!</v>
      </c>
      <c r="M3" s="44"/>
      <c r="N3" s="51">
        <f>(Tablo1[[#This Row],[KALAN ESANS]]/Tablo1[[#This Row],[Esans]]*0.01)*(Tablo1[[#This Row],[Alkol]]*100)</f>
        <v>0</v>
      </c>
      <c r="O3" s="51">
        <f>(Tablo1[[#This Row],[KALAN ESANS]]/Tablo1[[#This Row],[Esans]]*0.01)*(Tablo1[[#This Row],[Su]]*100)</f>
        <v>0</v>
      </c>
      <c r="P3" s="51">
        <f>Tablo1[[#This Row],[KALAN ESANS]]+Tablo1[[#This Row],[ALKOL Mik]]+Tablo1[[#This Row],[SU Mik]]</f>
        <v>0</v>
      </c>
    </row>
    <row r="4" spans="1:17" ht="15" customHeight="1" x14ac:dyDescent="0.2">
      <c r="A4" s="30" t="s">
        <v>258</v>
      </c>
      <c r="B4" s="36"/>
      <c r="C4" s="31">
        <v>0.04</v>
      </c>
      <c r="D4" s="31">
        <v>0</v>
      </c>
      <c r="E4" s="32">
        <f t="shared" ref="E4:E67" si="0">1-D4-C4</f>
        <v>0.96</v>
      </c>
      <c r="F4" s="33" t="s">
        <v>38</v>
      </c>
      <c r="G4" s="34" t="s">
        <v>768</v>
      </c>
      <c r="H4" s="57" t="e">
        <f>((Tablo1[[#This Row],[Esans Fiyat]]/#REF!*Tablo1[[#This Row],[Esans]]*100)+(#REF!/1000*Tablo1[[#This Row],[Su]]*100)+(#REF!/1000*Tablo1[[#This Row],[Alkol]]*100))*(#REF!/100)+#REF!</f>
        <v>#REF!</v>
      </c>
      <c r="I4" s="33" t="s">
        <v>776</v>
      </c>
      <c r="J4" s="51" t="e">
        <f>#REF!*Tablo1[[#This Row],[Esans]]</f>
        <v>#REF!</v>
      </c>
      <c r="K4" s="51" t="e">
        <f>#REF!*Tablo1[[#This Row],[Su]]</f>
        <v>#REF!</v>
      </c>
      <c r="L4" s="51" t="e">
        <f>#REF!*Tablo1[[#This Row],[Alkol]]</f>
        <v>#REF!</v>
      </c>
      <c r="M4" s="44"/>
      <c r="N4" s="51">
        <f>(Tablo1[[#This Row],[KALAN ESANS]]/Tablo1[[#This Row],[Esans]]*0.01)*(Tablo1[[#This Row],[Alkol]]*100)</f>
        <v>0</v>
      </c>
      <c r="O4" s="51">
        <f>(Tablo1[[#This Row],[KALAN ESANS]]/Tablo1[[#This Row],[Esans]]*0.01)*(Tablo1[[#This Row],[Su]]*100)</f>
        <v>0</v>
      </c>
      <c r="P4" s="51">
        <f>Tablo1[[#This Row],[KALAN ESANS]]+Tablo1[[#This Row],[ALKOL Mik]]+Tablo1[[#This Row],[SU Mik]]</f>
        <v>0</v>
      </c>
    </row>
    <row r="5" spans="1:17" ht="15" customHeight="1" x14ac:dyDescent="0.2">
      <c r="A5" s="30" t="s">
        <v>775</v>
      </c>
      <c r="B5" s="36"/>
      <c r="C5" s="31">
        <v>0.2</v>
      </c>
      <c r="D5" s="31">
        <v>0.02</v>
      </c>
      <c r="E5" s="32">
        <f t="shared" si="0"/>
        <v>0.78</v>
      </c>
      <c r="F5" s="33" t="s">
        <v>25</v>
      </c>
      <c r="G5" s="34" t="s">
        <v>768</v>
      </c>
      <c r="H5" s="57" t="e">
        <f>((Tablo1[[#This Row],[Esans Fiyat]]/#REF!*Tablo1[[#This Row],[Esans]]*100)+(#REF!/1000*Tablo1[[#This Row],[Su]]*100)+(#REF!/1000*Tablo1[[#This Row],[Alkol]]*100))*(#REF!/100)+#REF!</f>
        <v>#REF!</v>
      </c>
      <c r="I5" s="33" t="s">
        <v>777</v>
      </c>
      <c r="J5" s="51" t="e">
        <f>#REF!*Tablo1[[#This Row],[Esans]]</f>
        <v>#REF!</v>
      </c>
      <c r="K5" s="51" t="e">
        <f>#REF!*Tablo1[[#This Row],[Su]]</f>
        <v>#REF!</v>
      </c>
      <c r="L5" s="51" t="e">
        <f>#REF!*Tablo1[[#This Row],[Alkol]]</f>
        <v>#REF!</v>
      </c>
      <c r="M5" s="44"/>
      <c r="N5" s="51">
        <f>(Tablo1[[#This Row],[KALAN ESANS]]/Tablo1[[#This Row],[Esans]]*0.01)*(Tablo1[[#This Row],[Alkol]]*100)</f>
        <v>0</v>
      </c>
      <c r="O5" s="51">
        <f>(Tablo1[[#This Row],[KALAN ESANS]]/Tablo1[[#This Row],[Esans]]*0.01)*(Tablo1[[#This Row],[Su]]*100)</f>
        <v>0</v>
      </c>
      <c r="P5" s="51">
        <f>Tablo1[[#This Row],[KALAN ESANS]]+Tablo1[[#This Row],[ALKOL Mik]]+Tablo1[[#This Row],[SU Mik]]</f>
        <v>0</v>
      </c>
    </row>
    <row r="6" spans="1:17" ht="15" customHeight="1" x14ac:dyDescent="0.2">
      <c r="A6" s="30" t="s">
        <v>254</v>
      </c>
      <c r="B6" s="36"/>
      <c r="C6" s="31">
        <v>0.22</v>
      </c>
      <c r="D6" s="31">
        <v>0</v>
      </c>
      <c r="E6" s="32">
        <f t="shared" si="0"/>
        <v>0.78</v>
      </c>
      <c r="F6" s="33" t="s">
        <v>25</v>
      </c>
      <c r="G6" s="34" t="s">
        <v>768</v>
      </c>
      <c r="H6" s="57" t="e">
        <f>((Tablo1[[#This Row],[Esans Fiyat]]/#REF!*Tablo1[[#This Row],[Esans]]*100)+(#REF!/1000*Tablo1[[#This Row],[Su]]*100)+(#REF!/1000*Tablo1[[#This Row],[Alkol]]*100))*(#REF!/100)+#REF!</f>
        <v>#REF!</v>
      </c>
      <c r="I6" s="33" t="s">
        <v>772</v>
      </c>
      <c r="J6" s="51" t="e">
        <f>#REF!*Tablo1[[#This Row],[Esans]]</f>
        <v>#REF!</v>
      </c>
      <c r="K6" s="51" t="e">
        <f>#REF!*Tablo1[[#This Row],[Su]]</f>
        <v>#REF!</v>
      </c>
      <c r="L6" s="51" t="e">
        <f>#REF!*Tablo1[[#This Row],[Alkol]]</f>
        <v>#REF!</v>
      </c>
      <c r="M6" s="44"/>
      <c r="N6" s="51">
        <f>(Tablo1[[#This Row],[KALAN ESANS]]/Tablo1[[#This Row],[Esans]]*0.01)*(Tablo1[[#This Row],[Alkol]]*100)</f>
        <v>0</v>
      </c>
      <c r="O6" s="51">
        <f>(Tablo1[[#This Row],[KALAN ESANS]]/Tablo1[[#This Row],[Esans]]*0.01)*(Tablo1[[#This Row],[Su]]*100)</f>
        <v>0</v>
      </c>
      <c r="P6" s="51">
        <f>Tablo1[[#This Row],[KALAN ESANS]]+Tablo1[[#This Row],[ALKOL Mik]]+Tablo1[[#This Row],[SU Mik]]</f>
        <v>0</v>
      </c>
    </row>
    <row r="7" spans="1:17" ht="15" customHeight="1" x14ac:dyDescent="0.2">
      <c r="A7" s="30" t="s">
        <v>255</v>
      </c>
      <c r="B7" s="36"/>
      <c r="C7" s="31">
        <v>0.21</v>
      </c>
      <c r="D7" s="31">
        <v>0</v>
      </c>
      <c r="E7" s="32">
        <f t="shared" si="0"/>
        <v>0.79</v>
      </c>
      <c r="F7" s="33" t="s">
        <v>25</v>
      </c>
      <c r="G7" s="34" t="s">
        <v>768</v>
      </c>
      <c r="H7" s="57" t="e">
        <f>((Tablo1[[#This Row],[Esans Fiyat]]/#REF!*Tablo1[[#This Row],[Esans]]*100)+(#REF!/1000*Tablo1[[#This Row],[Su]]*100)+(#REF!/1000*Tablo1[[#This Row],[Alkol]]*100))*(#REF!/100)+#REF!</f>
        <v>#REF!</v>
      </c>
      <c r="I7" s="33" t="s">
        <v>772</v>
      </c>
      <c r="J7" s="51" t="e">
        <f>#REF!*Tablo1[[#This Row],[Esans]]</f>
        <v>#REF!</v>
      </c>
      <c r="K7" s="51" t="e">
        <f>#REF!*Tablo1[[#This Row],[Su]]</f>
        <v>#REF!</v>
      </c>
      <c r="L7" s="51" t="e">
        <f>#REF!*Tablo1[[#This Row],[Alkol]]</f>
        <v>#REF!</v>
      </c>
      <c r="M7" s="44"/>
      <c r="N7" s="51">
        <f>(Tablo1[[#This Row],[KALAN ESANS]]/Tablo1[[#This Row],[Esans]]*0.01)*(Tablo1[[#This Row],[Alkol]]*100)</f>
        <v>0</v>
      </c>
      <c r="O7" s="51">
        <f>(Tablo1[[#This Row],[KALAN ESANS]]/Tablo1[[#This Row],[Esans]]*0.01)*(Tablo1[[#This Row],[Su]]*100)</f>
        <v>0</v>
      </c>
      <c r="P7" s="51">
        <f>Tablo1[[#This Row],[KALAN ESANS]]+Tablo1[[#This Row],[ALKOL Mik]]+Tablo1[[#This Row],[SU Mik]]</f>
        <v>0</v>
      </c>
    </row>
    <row r="8" spans="1:17" ht="15" customHeight="1" x14ac:dyDescent="0.2">
      <c r="A8" s="30" t="s">
        <v>256</v>
      </c>
      <c r="B8" s="36"/>
      <c r="C8" s="31">
        <v>0.23</v>
      </c>
      <c r="D8" s="31">
        <v>0.02</v>
      </c>
      <c r="E8" s="32">
        <f t="shared" si="0"/>
        <v>0.75</v>
      </c>
      <c r="F8" s="33" t="s">
        <v>25</v>
      </c>
      <c r="G8" s="34" t="s">
        <v>768</v>
      </c>
      <c r="H8" s="57" t="e">
        <f>((Tablo1[[#This Row],[Esans Fiyat]]/#REF!*Tablo1[[#This Row],[Esans]]*100)+(#REF!/1000*Tablo1[[#This Row],[Su]]*100)+(#REF!/1000*Tablo1[[#This Row],[Alkol]]*100))*(#REF!/100)+#REF!</f>
        <v>#REF!</v>
      </c>
      <c r="I8" s="33" t="s">
        <v>772</v>
      </c>
      <c r="J8" s="51" t="e">
        <f>#REF!*Tablo1[[#This Row],[Esans]]</f>
        <v>#REF!</v>
      </c>
      <c r="K8" s="51" t="e">
        <f>#REF!*Tablo1[[#This Row],[Su]]</f>
        <v>#REF!</v>
      </c>
      <c r="L8" s="51" t="e">
        <f>#REF!*Tablo1[[#This Row],[Alkol]]</f>
        <v>#REF!</v>
      </c>
      <c r="M8" s="44"/>
      <c r="N8" s="51">
        <f>(Tablo1[[#This Row],[KALAN ESANS]]/Tablo1[[#This Row],[Esans]]*0.01)*(Tablo1[[#This Row],[Alkol]]*100)</f>
        <v>0</v>
      </c>
      <c r="O8" s="51">
        <f>(Tablo1[[#This Row],[KALAN ESANS]]/Tablo1[[#This Row],[Esans]]*0.01)*(Tablo1[[#This Row],[Su]]*100)</f>
        <v>0</v>
      </c>
      <c r="P8" s="51">
        <f>Tablo1[[#This Row],[KALAN ESANS]]+Tablo1[[#This Row],[ALKOL Mik]]+Tablo1[[#This Row],[SU Mik]]</f>
        <v>0</v>
      </c>
    </row>
    <row r="9" spans="1:17" ht="15" customHeight="1" x14ac:dyDescent="0.2">
      <c r="A9" s="30" t="s">
        <v>257</v>
      </c>
      <c r="B9" s="36"/>
      <c r="C9" s="31">
        <v>0.23</v>
      </c>
      <c r="D9" s="31">
        <v>0.02</v>
      </c>
      <c r="E9" s="32">
        <f t="shared" si="0"/>
        <v>0.75</v>
      </c>
      <c r="F9" s="33" t="s">
        <v>25</v>
      </c>
      <c r="G9" s="34" t="s">
        <v>768</v>
      </c>
      <c r="H9" s="57" t="e">
        <f>((Tablo1[[#This Row],[Esans Fiyat]]/#REF!*Tablo1[[#This Row],[Esans]]*100)+(#REF!/1000*Tablo1[[#This Row],[Su]]*100)+(#REF!/1000*Tablo1[[#This Row],[Alkol]]*100))*(#REF!/100)+#REF!</f>
        <v>#REF!</v>
      </c>
      <c r="I9" s="33" t="s">
        <v>772</v>
      </c>
      <c r="J9" s="51" t="e">
        <f>#REF!*Tablo1[[#This Row],[Esans]]</f>
        <v>#REF!</v>
      </c>
      <c r="K9" s="51" t="e">
        <f>#REF!*Tablo1[[#This Row],[Su]]</f>
        <v>#REF!</v>
      </c>
      <c r="L9" s="51" t="e">
        <f>#REF!*Tablo1[[#This Row],[Alkol]]</f>
        <v>#REF!</v>
      </c>
      <c r="M9" s="44"/>
      <c r="N9" s="51">
        <f>(Tablo1[[#This Row],[KALAN ESANS]]/Tablo1[[#This Row],[Esans]]*0.01)*(Tablo1[[#This Row],[Alkol]]*100)</f>
        <v>0</v>
      </c>
      <c r="O9" s="51">
        <f>(Tablo1[[#This Row],[KALAN ESANS]]/Tablo1[[#This Row],[Esans]]*0.01)*(Tablo1[[#This Row],[Su]]*100)</f>
        <v>0</v>
      </c>
      <c r="P9" s="51">
        <f>Tablo1[[#This Row],[KALAN ESANS]]+Tablo1[[#This Row],[ALKOL Mik]]+Tablo1[[#This Row],[SU Mik]]</f>
        <v>0</v>
      </c>
    </row>
    <row r="10" spans="1:17" ht="15" customHeight="1" x14ac:dyDescent="0.2">
      <c r="A10" s="30" t="s">
        <v>40</v>
      </c>
      <c r="B10" s="36"/>
      <c r="C10" s="31">
        <v>0.04</v>
      </c>
      <c r="D10" s="31">
        <v>0</v>
      </c>
      <c r="E10" s="32">
        <f t="shared" si="0"/>
        <v>0.96</v>
      </c>
      <c r="F10" s="33" t="s">
        <v>38</v>
      </c>
      <c r="G10" s="34" t="s">
        <v>768</v>
      </c>
      <c r="H10" s="57" t="e">
        <f>((Tablo1[[#This Row],[Esans Fiyat]]/#REF!*Tablo1[[#This Row],[Esans]]*100)+(#REF!/1000*Tablo1[[#This Row],[Su]]*100)+(#REF!/1000*Tablo1[[#This Row],[Alkol]]*100))*(#REF!/100)+#REF!</f>
        <v>#REF!</v>
      </c>
      <c r="I10" s="33" t="s">
        <v>776</v>
      </c>
      <c r="J10" s="51" t="e">
        <f>#REF!*Tablo1[[#This Row],[Esans]]</f>
        <v>#REF!</v>
      </c>
      <c r="K10" s="51" t="e">
        <f>#REF!*Tablo1[[#This Row],[Su]]</f>
        <v>#REF!</v>
      </c>
      <c r="L10" s="51" t="e">
        <f>#REF!*Tablo1[[#This Row],[Alkol]]</f>
        <v>#REF!</v>
      </c>
      <c r="M10" s="44"/>
      <c r="N10" s="51">
        <f>(Tablo1[[#This Row],[KALAN ESANS]]/Tablo1[[#This Row],[Esans]]*0.01)*(Tablo1[[#This Row],[Alkol]]*100)</f>
        <v>0</v>
      </c>
      <c r="O10" s="51">
        <f>(Tablo1[[#This Row],[KALAN ESANS]]/Tablo1[[#This Row],[Esans]]*0.01)*(Tablo1[[#This Row],[Su]]*100)</f>
        <v>0</v>
      </c>
      <c r="P10" s="51">
        <f>Tablo1[[#This Row],[KALAN ESANS]]+Tablo1[[#This Row],[ALKOL Mik]]+Tablo1[[#This Row],[SU Mik]]</f>
        <v>0</v>
      </c>
    </row>
    <row r="11" spans="1:17" ht="15" customHeight="1" x14ac:dyDescent="0.2">
      <c r="A11" s="30" t="s">
        <v>253</v>
      </c>
      <c r="B11" s="36"/>
      <c r="C11" s="31">
        <v>0.13</v>
      </c>
      <c r="D11" s="31">
        <v>0.02</v>
      </c>
      <c r="E11" s="32">
        <f t="shared" si="0"/>
        <v>0.85</v>
      </c>
      <c r="F11" s="33" t="s">
        <v>28</v>
      </c>
      <c r="G11" s="34" t="s">
        <v>768</v>
      </c>
      <c r="H11" s="57" t="e">
        <f>((Tablo1[[#This Row],[Esans Fiyat]]/#REF!*Tablo1[[#This Row],[Esans]]*100)+(#REF!/1000*Tablo1[[#This Row],[Su]]*100)+(#REF!/1000*Tablo1[[#This Row],[Alkol]]*100))*(#REF!/100)+#REF!</f>
        <v>#REF!</v>
      </c>
      <c r="I11" s="33" t="s">
        <v>772</v>
      </c>
      <c r="J11" s="51" t="e">
        <f>#REF!*Tablo1[[#This Row],[Esans]]</f>
        <v>#REF!</v>
      </c>
      <c r="K11" s="51" t="e">
        <f>#REF!*Tablo1[[#This Row],[Su]]</f>
        <v>#REF!</v>
      </c>
      <c r="L11" s="51" t="e">
        <f>#REF!*Tablo1[[#This Row],[Alkol]]</f>
        <v>#REF!</v>
      </c>
      <c r="M11" s="44"/>
      <c r="N11" s="51">
        <f>(Tablo1[[#This Row],[KALAN ESANS]]/Tablo1[[#This Row],[Esans]]*0.01)*(Tablo1[[#This Row],[Alkol]]*100)</f>
        <v>0</v>
      </c>
      <c r="O11" s="51">
        <f>(Tablo1[[#This Row],[KALAN ESANS]]/Tablo1[[#This Row],[Esans]]*0.01)*(Tablo1[[#This Row],[Su]]*100)</f>
        <v>0</v>
      </c>
      <c r="P11" s="51">
        <f>Tablo1[[#This Row],[KALAN ESANS]]+Tablo1[[#This Row],[ALKOL Mik]]+Tablo1[[#This Row],[SU Mik]]</f>
        <v>0</v>
      </c>
    </row>
    <row r="12" spans="1:17" ht="15" customHeight="1" x14ac:dyDescent="0.2">
      <c r="A12" s="30" t="s">
        <v>250</v>
      </c>
      <c r="B12" s="36"/>
      <c r="C12" s="31">
        <v>0.2</v>
      </c>
      <c r="D12" s="31">
        <v>0.02</v>
      </c>
      <c r="E12" s="32">
        <f t="shared" si="0"/>
        <v>0.78</v>
      </c>
      <c r="F12" s="33" t="s">
        <v>25</v>
      </c>
      <c r="G12" s="34" t="s">
        <v>768</v>
      </c>
      <c r="H12" s="57" t="e">
        <f>((Tablo1[[#This Row],[Esans Fiyat]]/#REF!*Tablo1[[#This Row],[Esans]]*100)+(#REF!/1000*Tablo1[[#This Row],[Su]]*100)+(#REF!/1000*Tablo1[[#This Row],[Alkol]]*100))*(#REF!/100)+#REF!</f>
        <v>#REF!</v>
      </c>
      <c r="I12" s="33" t="s">
        <v>772</v>
      </c>
      <c r="J12" s="51" t="e">
        <f>#REF!*Tablo1[[#This Row],[Esans]]</f>
        <v>#REF!</v>
      </c>
      <c r="K12" s="51" t="e">
        <f>#REF!*Tablo1[[#This Row],[Su]]</f>
        <v>#REF!</v>
      </c>
      <c r="L12" s="51" t="e">
        <f>#REF!*Tablo1[[#This Row],[Alkol]]</f>
        <v>#REF!</v>
      </c>
      <c r="M12" s="44"/>
      <c r="N12" s="51">
        <f>(Tablo1[[#This Row],[KALAN ESANS]]/Tablo1[[#This Row],[Esans]]*0.01)*(Tablo1[[#This Row],[Alkol]]*100)</f>
        <v>0</v>
      </c>
      <c r="O12" s="51">
        <f>(Tablo1[[#This Row],[KALAN ESANS]]/Tablo1[[#This Row],[Esans]]*0.01)*(Tablo1[[#This Row],[Su]]*100)</f>
        <v>0</v>
      </c>
      <c r="P12" s="51">
        <f>Tablo1[[#This Row],[KALAN ESANS]]+Tablo1[[#This Row],[ALKOL Mik]]+Tablo1[[#This Row],[SU Mik]]</f>
        <v>0</v>
      </c>
    </row>
    <row r="13" spans="1:17" ht="15" customHeight="1" x14ac:dyDescent="0.2">
      <c r="A13" s="30" t="s">
        <v>10</v>
      </c>
      <c r="B13" s="36"/>
      <c r="C13" s="31">
        <v>0.18</v>
      </c>
      <c r="D13" s="31">
        <v>0.02</v>
      </c>
      <c r="E13" s="32">
        <f t="shared" si="0"/>
        <v>0.8</v>
      </c>
      <c r="F13" s="33" t="s">
        <v>25</v>
      </c>
      <c r="G13" s="34" t="s">
        <v>768</v>
      </c>
      <c r="H13" s="57" t="e">
        <f>((Tablo1[[#This Row],[Esans Fiyat]]/#REF!*Tablo1[[#This Row],[Esans]]*100)+(#REF!/1000*Tablo1[[#This Row],[Su]]*100)+(#REF!/1000*Tablo1[[#This Row],[Alkol]]*100))*(#REF!/100)+#REF!</f>
        <v>#REF!</v>
      </c>
      <c r="I13" s="33" t="s">
        <v>772</v>
      </c>
      <c r="J13" s="51" t="e">
        <f>#REF!*Tablo1[[#This Row],[Esans]]</f>
        <v>#REF!</v>
      </c>
      <c r="K13" s="51" t="e">
        <f>#REF!*Tablo1[[#This Row],[Su]]</f>
        <v>#REF!</v>
      </c>
      <c r="L13" s="51" t="e">
        <f>#REF!*Tablo1[[#This Row],[Alkol]]</f>
        <v>#REF!</v>
      </c>
      <c r="M13" s="44"/>
      <c r="N13" s="51">
        <f>(Tablo1[[#This Row],[KALAN ESANS]]/Tablo1[[#This Row],[Esans]]*0.01)*(Tablo1[[#This Row],[Alkol]]*100)</f>
        <v>0</v>
      </c>
      <c r="O13" s="51">
        <f>(Tablo1[[#This Row],[KALAN ESANS]]/Tablo1[[#This Row],[Esans]]*0.01)*(Tablo1[[#This Row],[Su]]*100)</f>
        <v>0</v>
      </c>
      <c r="P13" s="51">
        <f>Tablo1[[#This Row],[KALAN ESANS]]+Tablo1[[#This Row],[ALKOL Mik]]+Tablo1[[#This Row],[SU Mik]]</f>
        <v>0</v>
      </c>
    </row>
    <row r="14" spans="1:17" ht="15" customHeight="1" x14ac:dyDescent="0.2">
      <c r="A14" s="30" t="s">
        <v>247</v>
      </c>
      <c r="B14" s="36"/>
      <c r="C14" s="31">
        <v>0.2</v>
      </c>
      <c r="D14" s="31">
        <v>0.02</v>
      </c>
      <c r="E14" s="32">
        <f t="shared" si="0"/>
        <v>0.78</v>
      </c>
      <c r="F14" s="33" t="s">
        <v>25</v>
      </c>
      <c r="G14" s="34" t="s">
        <v>768</v>
      </c>
      <c r="H14" s="57" t="e">
        <f>((Tablo1[[#This Row],[Esans Fiyat]]/#REF!*Tablo1[[#This Row],[Esans]]*100)+(#REF!/1000*Tablo1[[#This Row],[Su]]*100)+(#REF!/1000*Tablo1[[#This Row],[Alkol]]*100))*(#REF!/100)+#REF!</f>
        <v>#REF!</v>
      </c>
      <c r="I14" s="33" t="s">
        <v>772</v>
      </c>
      <c r="J14" s="51" t="e">
        <f>#REF!*Tablo1[[#This Row],[Esans]]</f>
        <v>#REF!</v>
      </c>
      <c r="K14" s="51" t="e">
        <f>#REF!*Tablo1[[#This Row],[Su]]</f>
        <v>#REF!</v>
      </c>
      <c r="L14" s="51" t="e">
        <f>#REF!*Tablo1[[#This Row],[Alkol]]</f>
        <v>#REF!</v>
      </c>
      <c r="M14" s="44"/>
      <c r="N14" s="51">
        <f>(Tablo1[[#This Row],[KALAN ESANS]]/Tablo1[[#This Row],[Esans]]*0.01)*(Tablo1[[#This Row],[Alkol]]*100)</f>
        <v>0</v>
      </c>
      <c r="O14" s="51">
        <f>(Tablo1[[#This Row],[KALAN ESANS]]/Tablo1[[#This Row],[Esans]]*0.01)*(Tablo1[[#This Row],[Su]]*100)</f>
        <v>0</v>
      </c>
      <c r="P14" s="51">
        <f>Tablo1[[#This Row],[KALAN ESANS]]+Tablo1[[#This Row],[ALKOL Mik]]+Tablo1[[#This Row],[SU Mik]]</f>
        <v>0</v>
      </c>
    </row>
    <row r="15" spans="1:17" ht="15" customHeight="1" x14ac:dyDescent="0.2">
      <c r="A15" s="30" t="s">
        <v>245</v>
      </c>
      <c r="B15" s="36"/>
      <c r="C15" s="31">
        <v>0.13</v>
      </c>
      <c r="D15" s="31">
        <v>0.02</v>
      </c>
      <c r="E15" s="32">
        <f t="shared" si="0"/>
        <v>0.85</v>
      </c>
      <c r="F15" s="33" t="s">
        <v>28</v>
      </c>
      <c r="G15" s="34" t="s">
        <v>768</v>
      </c>
      <c r="H15" s="57" t="e">
        <f>((Tablo1[[#This Row],[Esans Fiyat]]/#REF!*Tablo1[[#This Row],[Esans]]*100)+(#REF!/1000*Tablo1[[#This Row],[Su]]*100)+(#REF!/1000*Tablo1[[#This Row],[Alkol]]*100))*(#REF!/100)+#REF!</f>
        <v>#REF!</v>
      </c>
      <c r="I15" s="33" t="s">
        <v>774</v>
      </c>
      <c r="J15" s="51" t="e">
        <f>#REF!*Tablo1[[#This Row],[Esans]]</f>
        <v>#REF!</v>
      </c>
      <c r="K15" s="51" t="e">
        <f>#REF!*Tablo1[[#This Row],[Su]]</f>
        <v>#REF!</v>
      </c>
      <c r="L15" s="51" t="e">
        <f>#REF!*Tablo1[[#This Row],[Alkol]]</f>
        <v>#REF!</v>
      </c>
      <c r="M15" s="44"/>
      <c r="N15" s="51">
        <f>(Tablo1[[#This Row],[KALAN ESANS]]/Tablo1[[#This Row],[Esans]]*0.01)*(Tablo1[[#This Row],[Alkol]]*100)</f>
        <v>0</v>
      </c>
      <c r="O15" s="51">
        <f>(Tablo1[[#This Row],[KALAN ESANS]]/Tablo1[[#This Row],[Esans]]*0.01)*(Tablo1[[#This Row],[Su]]*100)</f>
        <v>0</v>
      </c>
      <c r="P15" s="51">
        <f>Tablo1[[#This Row],[KALAN ESANS]]+Tablo1[[#This Row],[ALKOL Mik]]+Tablo1[[#This Row],[SU Mik]]</f>
        <v>0</v>
      </c>
    </row>
    <row r="16" spans="1:17" ht="15" customHeight="1" x14ac:dyDescent="0.2">
      <c r="A16" s="30" t="s">
        <v>58</v>
      </c>
      <c r="B16" s="36"/>
      <c r="C16" s="31">
        <v>0.13</v>
      </c>
      <c r="D16" s="31">
        <v>0.02</v>
      </c>
      <c r="E16" s="32">
        <f t="shared" si="0"/>
        <v>0.85</v>
      </c>
      <c r="F16" s="33" t="s">
        <v>28</v>
      </c>
      <c r="G16" s="34" t="s">
        <v>768</v>
      </c>
      <c r="H16" s="57" t="e">
        <f>((Tablo1[[#This Row],[Esans Fiyat]]/#REF!*Tablo1[[#This Row],[Esans]]*100)+(#REF!/1000*Tablo1[[#This Row],[Su]]*100)+(#REF!/1000*Tablo1[[#This Row],[Alkol]]*100))*(#REF!/100)+#REF!</f>
        <v>#REF!</v>
      </c>
      <c r="I16" s="33" t="s">
        <v>778</v>
      </c>
      <c r="J16" s="51" t="e">
        <f>#REF!*Tablo1[[#This Row],[Esans]]</f>
        <v>#REF!</v>
      </c>
      <c r="K16" s="51" t="e">
        <f>#REF!*Tablo1[[#This Row],[Su]]</f>
        <v>#REF!</v>
      </c>
      <c r="L16" s="51" t="e">
        <f>#REF!*Tablo1[[#This Row],[Alkol]]</f>
        <v>#REF!</v>
      </c>
      <c r="M16" s="44"/>
      <c r="N16" s="51">
        <f>(Tablo1[[#This Row],[KALAN ESANS]]/Tablo1[[#This Row],[Esans]]*0.01)*(Tablo1[[#This Row],[Alkol]]*100)</f>
        <v>0</v>
      </c>
      <c r="O16" s="51">
        <f>(Tablo1[[#This Row],[KALAN ESANS]]/Tablo1[[#This Row],[Esans]]*0.01)*(Tablo1[[#This Row],[Su]]*100)</f>
        <v>0</v>
      </c>
      <c r="P16" s="51">
        <f>Tablo1[[#This Row],[KALAN ESANS]]+Tablo1[[#This Row],[ALKOL Mik]]+Tablo1[[#This Row],[SU Mik]]</f>
        <v>0</v>
      </c>
    </row>
    <row r="17" spans="1:16" ht="15" customHeight="1" x14ac:dyDescent="0.2">
      <c r="A17" s="30" t="s">
        <v>59</v>
      </c>
      <c r="B17" s="36"/>
      <c r="C17" s="31">
        <v>0.13</v>
      </c>
      <c r="D17" s="31">
        <v>0.02</v>
      </c>
      <c r="E17" s="32">
        <f t="shared" si="0"/>
        <v>0.85</v>
      </c>
      <c r="F17" s="33" t="s">
        <v>28</v>
      </c>
      <c r="G17" s="34" t="s">
        <v>768</v>
      </c>
      <c r="H17" s="57" t="e">
        <f>((Tablo1[[#This Row],[Esans Fiyat]]/#REF!*Tablo1[[#This Row],[Esans]]*100)+(#REF!/1000*Tablo1[[#This Row],[Su]]*100)+(#REF!/1000*Tablo1[[#This Row],[Alkol]]*100))*(#REF!/100)+#REF!</f>
        <v>#REF!</v>
      </c>
      <c r="I17" s="33" t="s">
        <v>774</v>
      </c>
      <c r="J17" s="51" t="e">
        <f>#REF!*Tablo1[[#This Row],[Esans]]</f>
        <v>#REF!</v>
      </c>
      <c r="K17" s="51" t="e">
        <f>#REF!*Tablo1[[#This Row],[Su]]</f>
        <v>#REF!</v>
      </c>
      <c r="L17" s="51" t="e">
        <f>#REF!*Tablo1[[#This Row],[Alkol]]</f>
        <v>#REF!</v>
      </c>
      <c r="M17" s="44"/>
      <c r="N17" s="51">
        <f>(Tablo1[[#This Row],[KALAN ESANS]]/Tablo1[[#This Row],[Esans]]*0.01)*(Tablo1[[#This Row],[Alkol]]*100)</f>
        <v>0</v>
      </c>
      <c r="O17" s="51">
        <f>(Tablo1[[#This Row],[KALAN ESANS]]/Tablo1[[#This Row],[Esans]]*0.01)*(Tablo1[[#This Row],[Su]]*100)</f>
        <v>0</v>
      </c>
      <c r="P17" s="51">
        <f>Tablo1[[#This Row],[KALAN ESANS]]+Tablo1[[#This Row],[ALKOL Mik]]+Tablo1[[#This Row],[SU Mik]]</f>
        <v>0</v>
      </c>
    </row>
    <row r="18" spans="1:16" ht="15" customHeight="1" x14ac:dyDescent="0.2">
      <c r="A18" s="30" t="s">
        <v>248</v>
      </c>
      <c r="B18" s="36"/>
      <c r="C18" s="31">
        <v>0.2</v>
      </c>
      <c r="D18" s="31">
        <v>0.02</v>
      </c>
      <c r="E18" s="32">
        <f t="shared" si="0"/>
        <v>0.78</v>
      </c>
      <c r="F18" s="33" t="s">
        <v>25</v>
      </c>
      <c r="G18" s="34" t="s">
        <v>768</v>
      </c>
      <c r="H18" s="57" t="e">
        <f>((Tablo1[[#This Row],[Esans Fiyat]]/#REF!*Tablo1[[#This Row],[Esans]]*100)+(#REF!/1000*Tablo1[[#This Row],[Su]]*100)+(#REF!/1000*Tablo1[[#This Row],[Alkol]]*100))*(#REF!/100)+#REF!</f>
        <v>#REF!</v>
      </c>
      <c r="I18" s="33" t="s">
        <v>778</v>
      </c>
      <c r="J18" s="51" t="e">
        <f>#REF!*Tablo1[[#This Row],[Esans]]</f>
        <v>#REF!</v>
      </c>
      <c r="K18" s="51" t="e">
        <f>#REF!*Tablo1[[#This Row],[Su]]</f>
        <v>#REF!</v>
      </c>
      <c r="L18" s="51" t="e">
        <f>#REF!*Tablo1[[#This Row],[Alkol]]</f>
        <v>#REF!</v>
      </c>
      <c r="M18" s="44"/>
      <c r="N18" s="51">
        <f>(Tablo1[[#This Row],[KALAN ESANS]]/Tablo1[[#This Row],[Esans]]*0.01)*(Tablo1[[#This Row],[Alkol]]*100)</f>
        <v>0</v>
      </c>
      <c r="O18" s="51">
        <f>(Tablo1[[#This Row],[KALAN ESANS]]/Tablo1[[#This Row],[Esans]]*0.01)*(Tablo1[[#This Row],[Su]]*100)</f>
        <v>0</v>
      </c>
      <c r="P18" s="51">
        <f>Tablo1[[#This Row],[KALAN ESANS]]+Tablo1[[#This Row],[ALKOL Mik]]+Tablo1[[#This Row],[SU Mik]]</f>
        <v>0</v>
      </c>
    </row>
    <row r="19" spans="1:16" ht="15" customHeight="1" x14ac:dyDescent="0.2">
      <c r="A19" s="30" t="s">
        <v>249</v>
      </c>
      <c r="B19" s="36"/>
      <c r="C19" s="31">
        <v>0.13</v>
      </c>
      <c r="D19" s="31">
        <v>0.02</v>
      </c>
      <c r="E19" s="32">
        <f t="shared" si="0"/>
        <v>0.85</v>
      </c>
      <c r="F19" s="33" t="s">
        <v>28</v>
      </c>
      <c r="G19" s="34" t="s">
        <v>768</v>
      </c>
      <c r="H19" s="57" t="e">
        <f>((Tablo1[[#This Row],[Esans Fiyat]]/#REF!*Tablo1[[#This Row],[Esans]]*100)+(#REF!/1000*Tablo1[[#This Row],[Su]]*100)+(#REF!/1000*Tablo1[[#This Row],[Alkol]]*100))*(#REF!/100)+#REF!</f>
        <v>#REF!</v>
      </c>
      <c r="I19" s="33" t="s">
        <v>778</v>
      </c>
      <c r="J19" s="51" t="e">
        <f>#REF!*Tablo1[[#This Row],[Esans]]</f>
        <v>#REF!</v>
      </c>
      <c r="K19" s="51" t="e">
        <f>#REF!*Tablo1[[#This Row],[Su]]</f>
        <v>#REF!</v>
      </c>
      <c r="L19" s="51" t="e">
        <f>#REF!*Tablo1[[#This Row],[Alkol]]</f>
        <v>#REF!</v>
      </c>
      <c r="M19" s="44"/>
      <c r="N19" s="51">
        <f>(Tablo1[[#This Row],[KALAN ESANS]]/Tablo1[[#This Row],[Esans]]*0.01)*(Tablo1[[#This Row],[Alkol]]*100)</f>
        <v>0</v>
      </c>
      <c r="O19" s="51">
        <f>(Tablo1[[#This Row],[KALAN ESANS]]/Tablo1[[#This Row],[Esans]]*0.01)*(Tablo1[[#This Row],[Su]]*100)</f>
        <v>0</v>
      </c>
      <c r="P19" s="51">
        <f>Tablo1[[#This Row],[KALAN ESANS]]+Tablo1[[#This Row],[ALKOL Mik]]+Tablo1[[#This Row],[SU Mik]]</f>
        <v>0</v>
      </c>
    </row>
    <row r="20" spans="1:16" ht="15" customHeight="1" x14ac:dyDescent="0.2">
      <c r="A20" s="30" t="s">
        <v>57</v>
      </c>
      <c r="B20" s="36"/>
      <c r="C20" s="31">
        <v>0.15</v>
      </c>
      <c r="D20" s="31">
        <v>0</v>
      </c>
      <c r="E20" s="32">
        <f t="shared" si="0"/>
        <v>0.85</v>
      </c>
      <c r="F20" s="33" t="s">
        <v>28</v>
      </c>
      <c r="G20" s="34" t="s">
        <v>768</v>
      </c>
      <c r="H20" s="57" t="e">
        <f>((Tablo1[[#This Row],[Esans Fiyat]]/#REF!*Tablo1[[#This Row],[Esans]]*100)+(#REF!/1000*Tablo1[[#This Row],[Su]]*100)+(#REF!/1000*Tablo1[[#This Row],[Alkol]]*100))*(#REF!/100)+#REF!</f>
        <v>#REF!</v>
      </c>
      <c r="I20" s="33" t="s">
        <v>776</v>
      </c>
      <c r="J20" s="51" t="e">
        <f>#REF!*Tablo1[[#This Row],[Esans]]</f>
        <v>#REF!</v>
      </c>
      <c r="K20" s="51" t="e">
        <f>#REF!*Tablo1[[#This Row],[Su]]</f>
        <v>#REF!</v>
      </c>
      <c r="L20" s="51" t="e">
        <f>#REF!*Tablo1[[#This Row],[Alkol]]</f>
        <v>#REF!</v>
      </c>
      <c r="M20" s="44"/>
      <c r="N20" s="51">
        <f>(Tablo1[[#This Row],[KALAN ESANS]]/Tablo1[[#This Row],[Esans]]*0.01)*(Tablo1[[#This Row],[Alkol]]*100)</f>
        <v>0</v>
      </c>
      <c r="O20" s="51">
        <f>(Tablo1[[#This Row],[KALAN ESANS]]/Tablo1[[#This Row],[Esans]]*0.01)*(Tablo1[[#This Row],[Su]]*100)</f>
        <v>0</v>
      </c>
      <c r="P20" s="51">
        <f>Tablo1[[#This Row],[KALAN ESANS]]+Tablo1[[#This Row],[ALKOL Mik]]+Tablo1[[#This Row],[SU Mik]]</f>
        <v>0</v>
      </c>
    </row>
    <row r="21" spans="1:16" ht="15" customHeight="1" x14ac:dyDescent="0.2">
      <c r="A21" s="30" t="s">
        <v>246</v>
      </c>
      <c r="B21" s="36"/>
      <c r="C21" s="31">
        <v>0.15</v>
      </c>
      <c r="D21" s="31">
        <v>0.02</v>
      </c>
      <c r="E21" s="32">
        <f t="shared" si="0"/>
        <v>0.83</v>
      </c>
      <c r="F21" s="33" t="s">
        <v>28</v>
      </c>
      <c r="G21" s="34" t="s">
        <v>768</v>
      </c>
      <c r="H21" s="57" t="e">
        <f>((Tablo1[[#This Row],[Esans Fiyat]]/#REF!*Tablo1[[#This Row],[Esans]]*100)+(#REF!/1000*Tablo1[[#This Row],[Su]]*100)+(#REF!/1000*Tablo1[[#This Row],[Alkol]]*100))*(#REF!/100)+#REF!</f>
        <v>#REF!</v>
      </c>
      <c r="I21" s="33" t="s">
        <v>776</v>
      </c>
      <c r="J21" s="51" t="e">
        <f>#REF!*Tablo1[[#This Row],[Esans]]</f>
        <v>#REF!</v>
      </c>
      <c r="K21" s="51" t="e">
        <f>#REF!*Tablo1[[#This Row],[Su]]</f>
        <v>#REF!</v>
      </c>
      <c r="L21" s="51" t="e">
        <f>#REF!*Tablo1[[#This Row],[Alkol]]</f>
        <v>#REF!</v>
      </c>
      <c r="M21" s="44"/>
      <c r="N21" s="51">
        <f>(Tablo1[[#This Row],[KALAN ESANS]]/Tablo1[[#This Row],[Esans]]*0.01)*(Tablo1[[#This Row],[Alkol]]*100)</f>
        <v>0</v>
      </c>
      <c r="O21" s="51">
        <f>(Tablo1[[#This Row],[KALAN ESANS]]/Tablo1[[#This Row],[Esans]]*0.01)*(Tablo1[[#This Row],[Su]]*100)</f>
        <v>0</v>
      </c>
      <c r="P21" s="51">
        <f>Tablo1[[#This Row],[KALAN ESANS]]+Tablo1[[#This Row],[ALKOL Mik]]+Tablo1[[#This Row],[SU Mik]]</f>
        <v>0</v>
      </c>
    </row>
    <row r="22" spans="1:16" ht="15" customHeight="1" x14ac:dyDescent="0.2">
      <c r="A22" s="30" t="s">
        <v>244</v>
      </c>
      <c r="B22" s="36"/>
      <c r="C22" s="31">
        <v>0.15</v>
      </c>
      <c r="D22" s="31">
        <v>0.02</v>
      </c>
      <c r="E22" s="32">
        <f t="shared" si="0"/>
        <v>0.83</v>
      </c>
      <c r="F22" s="33" t="s">
        <v>28</v>
      </c>
      <c r="G22" s="34" t="s">
        <v>768</v>
      </c>
      <c r="H22" s="57" t="e">
        <f>((Tablo1[[#This Row],[Esans Fiyat]]/#REF!*Tablo1[[#This Row],[Esans]]*100)+(#REF!/1000*Tablo1[[#This Row],[Su]]*100)+(#REF!/1000*Tablo1[[#This Row],[Alkol]]*100))*(#REF!/100)+#REF!</f>
        <v>#REF!</v>
      </c>
      <c r="I22" s="33" t="s">
        <v>776</v>
      </c>
      <c r="J22" s="51" t="e">
        <f>#REF!*Tablo1[[#This Row],[Esans]]</f>
        <v>#REF!</v>
      </c>
      <c r="K22" s="51" t="e">
        <f>#REF!*Tablo1[[#This Row],[Su]]</f>
        <v>#REF!</v>
      </c>
      <c r="L22" s="51" t="e">
        <f>#REF!*Tablo1[[#This Row],[Alkol]]</f>
        <v>#REF!</v>
      </c>
      <c r="M22" s="44"/>
      <c r="N22" s="51">
        <f>(Tablo1[[#This Row],[KALAN ESANS]]/Tablo1[[#This Row],[Esans]]*0.01)*(Tablo1[[#This Row],[Alkol]]*100)</f>
        <v>0</v>
      </c>
      <c r="O22" s="51">
        <f>(Tablo1[[#This Row],[KALAN ESANS]]/Tablo1[[#This Row],[Esans]]*0.01)*(Tablo1[[#This Row],[Su]]*100)</f>
        <v>0</v>
      </c>
      <c r="P22" s="51">
        <f>Tablo1[[#This Row],[KALAN ESANS]]+Tablo1[[#This Row],[ALKOL Mik]]+Tablo1[[#This Row],[SU Mik]]</f>
        <v>0</v>
      </c>
    </row>
    <row r="23" spans="1:16" ht="15" customHeight="1" x14ac:dyDescent="0.2">
      <c r="A23" s="30" t="s">
        <v>252</v>
      </c>
      <c r="B23" s="36"/>
      <c r="C23" s="31">
        <v>0.15</v>
      </c>
      <c r="D23" s="31">
        <v>0.02</v>
      </c>
      <c r="E23" s="32">
        <f t="shared" si="0"/>
        <v>0.83</v>
      </c>
      <c r="F23" s="33" t="s">
        <v>28</v>
      </c>
      <c r="G23" s="34" t="s">
        <v>768</v>
      </c>
      <c r="H23" s="57" t="e">
        <f>((Tablo1[[#This Row],[Esans Fiyat]]/#REF!*Tablo1[[#This Row],[Esans]]*100)+(#REF!/1000*Tablo1[[#This Row],[Su]]*100)+(#REF!/1000*Tablo1[[#This Row],[Alkol]]*100))*(#REF!/100)+#REF!</f>
        <v>#REF!</v>
      </c>
      <c r="I23" s="33" t="s">
        <v>776</v>
      </c>
      <c r="J23" s="51" t="e">
        <f>#REF!*Tablo1[[#This Row],[Esans]]</f>
        <v>#REF!</v>
      </c>
      <c r="K23" s="51" t="e">
        <f>#REF!*Tablo1[[#This Row],[Su]]</f>
        <v>#REF!</v>
      </c>
      <c r="L23" s="51" t="e">
        <f>#REF!*Tablo1[[#This Row],[Alkol]]</f>
        <v>#REF!</v>
      </c>
      <c r="M23" s="44"/>
      <c r="N23" s="51">
        <f>(Tablo1[[#This Row],[KALAN ESANS]]/Tablo1[[#This Row],[Esans]]*0.01)*(Tablo1[[#This Row],[Alkol]]*100)</f>
        <v>0</v>
      </c>
      <c r="O23" s="51">
        <f>(Tablo1[[#This Row],[KALAN ESANS]]/Tablo1[[#This Row],[Esans]]*0.01)*(Tablo1[[#This Row],[Su]]*100)</f>
        <v>0</v>
      </c>
      <c r="P23" s="51">
        <f>Tablo1[[#This Row],[KALAN ESANS]]+Tablo1[[#This Row],[ALKOL Mik]]+Tablo1[[#This Row],[SU Mik]]</f>
        <v>0</v>
      </c>
    </row>
    <row r="24" spans="1:16" ht="15" customHeight="1" x14ac:dyDescent="0.2">
      <c r="A24" s="30" t="s">
        <v>251</v>
      </c>
      <c r="B24" s="36"/>
      <c r="C24" s="31">
        <v>0.2</v>
      </c>
      <c r="D24" s="31">
        <v>0.02</v>
      </c>
      <c r="E24" s="32">
        <f t="shared" si="0"/>
        <v>0.78</v>
      </c>
      <c r="F24" s="33" t="s">
        <v>25</v>
      </c>
      <c r="G24" s="34" t="s">
        <v>768</v>
      </c>
      <c r="H24" s="57" t="e">
        <f>((Tablo1[[#This Row],[Esans Fiyat]]/#REF!*Tablo1[[#This Row],[Esans]]*100)+(#REF!/1000*Tablo1[[#This Row],[Su]]*100)+(#REF!/1000*Tablo1[[#This Row],[Alkol]]*100))*(#REF!/100)+#REF!</f>
        <v>#REF!</v>
      </c>
      <c r="I24" s="33" t="s">
        <v>776</v>
      </c>
      <c r="J24" s="51" t="e">
        <f>#REF!*Tablo1[[#This Row],[Esans]]</f>
        <v>#REF!</v>
      </c>
      <c r="K24" s="51" t="e">
        <f>#REF!*Tablo1[[#This Row],[Su]]</f>
        <v>#REF!</v>
      </c>
      <c r="L24" s="51" t="e">
        <f>#REF!*Tablo1[[#This Row],[Alkol]]</f>
        <v>#REF!</v>
      </c>
      <c r="M24" s="44"/>
      <c r="N24" s="51">
        <f>(Tablo1[[#This Row],[KALAN ESANS]]/Tablo1[[#This Row],[Esans]]*0.01)*(Tablo1[[#This Row],[Alkol]]*100)</f>
        <v>0</v>
      </c>
      <c r="O24" s="51">
        <f>(Tablo1[[#This Row],[KALAN ESANS]]/Tablo1[[#This Row],[Esans]]*0.01)*(Tablo1[[#This Row],[Su]]*100)</f>
        <v>0</v>
      </c>
      <c r="P24" s="51">
        <f>Tablo1[[#This Row],[KALAN ESANS]]+Tablo1[[#This Row],[ALKOL Mik]]+Tablo1[[#This Row],[SU Mik]]</f>
        <v>0</v>
      </c>
    </row>
    <row r="25" spans="1:16" ht="15" customHeight="1" x14ac:dyDescent="0.2">
      <c r="A25" s="30" t="s">
        <v>242</v>
      </c>
      <c r="B25" s="36"/>
      <c r="C25" s="31">
        <v>0.15</v>
      </c>
      <c r="D25" s="31">
        <v>0.02</v>
      </c>
      <c r="E25" s="32">
        <f t="shared" si="0"/>
        <v>0.83</v>
      </c>
      <c r="F25" s="33" t="s">
        <v>28</v>
      </c>
      <c r="G25" s="34" t="s">
        <v>768</v>
      </c>
      <c r="H25" s="57" t="e">
        <f>((Tablo1[[#This Row],[Esans Fiyat]]/#REF!*Tablo1[[#This Row],[Esans]]*100)+(#REF!/1000*Tablo1[[#This Row],[Su]]*100)+(#REF!/1000*Tablo1[[#This Row],[Alkol]]*100))*(#REF!/100)+#REF!</f>
        <v>#REF!</v>
      </c>
      <c r="I25" s="33" t="s">
        <v>772</v>
      </c>
      <c r="J25" s="51" t="e">
        <f>#REF!*Tablo1[[#This Row],[Esans]]</f>
        <v>#REF!</v>
      </c>
      <c r="K25" s="51" t="e">
        <f>#REF!*Tablo1[[#This Row],[Su]]</f>
        <v>#REF!</v>
      </c>
      <c r="L25" s="51" t="e">
        <f>#REF!*Tablo1[[#This Row],[Alkol]]</f>
        <v>#REF!</v>
      </c>
      <c r="M25" s="44"/>
      <c r="N25" s="51">
        <f>(Tablo1[[#This Row],[KALAN ESANS]]/Tablo1[[#This Row],[Esans]]*0.01)*(Tablo1[[#This Row],[Alkol]]*100)</f>
        <v>0</v>
      </c>
      <c r="O25" s="51">
        <f>(Tablo1[[#This Row],[KALAN ESANS]]/Tablo1[[#This Row],[Esans]]*0.01)*(Tablo1[[#This Row],[Su]]*100)</f>
        <v>0</v>
      </c>
      <c r="P25" s="51">
        <f>Tablo1[[#This Row],[KALAN ESANS]]+Tablo1[[#This Row],[ALKOL Mik]]+Tablo1[[#This Row],[SU Mik]]</f>
        <v>0</v>
      </c>
    </row>
    <row r="26" spans="1:16" ht="15" customHeight="1" x14ac:dyDescent="0.2">
      <c r="A26" s="30" t="s">
        <v>241</v>
      </c>
      <c r="B26" s="36"/>
      <c r="C26" s="31">
        <v>0.2</v>
      </c>
      <c r="D26" s="31">
        <v>0.02</v>
      </c>
      <c r="E26" s="32">
        <f t="shared" si="0"/>
        <v>0.78</v>
      </c>
      <c r="F26" s="33" t="s">
        <v>25</v>
      </c>
      <c r="G26" s="34" t="s">
        <v>768</v>
      </c>
      <c r="H26" s="57" t="e">
        <f>((Tablo1[[#This Row],[Esans Fiyat]]/#REF!*Tablo1[[#This Row],[Esans]]*100)+(#REF!/1000*Tablo1[[#This Row],[Su]]*100)+(#REF!/1000*Tablo1[[#This Row],[Alkol]]*100))*(#REF!/100)+#REF!</f>
        <v>#REF!</v>
      </c>
      <c r="I26" s="33" t="s">
        <v>776</v>
      </c>
      <c r="J26" s="51" t="e">
        <f>#REF!*Tablo1[[#This Row],[Esans]]</f>
        <v>#REF!</v>
      </c>
      <c r="K26" s="51" t="e">
        <f>#REF!*Tablo1[[#This Row],[Su]]</f>
        <v>#REF!</v>
      </c>
      <c r="L26" s="51" t="e">
        <f>#REF!*Tablo1[[#This Row],[Alkol]]</f>
        <v>#REF!</v>
      </c>
      <c r="M26" s="44"/>
      <c r="N26" s="51">
        <f>(Tablo1[[#This Row],[KALAN ESANS]]/Tablo1[[#This Row],[Esans]]*0.01)*(Tablo1[[#This Row],[Alkol]]*100)</f>
        <v>0</v>
      </c>
      <c r="O26" s="51">
        <f>(Tablo1[[#This Row],[KALAN ESANS]]/Tablo1[[#This Row],[Esans]]*0.01)*(Tablo1[[#This Row],[Su]]*100)</f>
        <v>0</v>
      </c>
      <c r="P26" s="51">
        <f>Tablo1[[#This Row],[KALAN ESANS]]+Tablo1[[#This Row],[ALKOL Mik]]+Tablo1[[#This Row],[SU Mik]]</f>
        <v>0</v>
      </c>
    </row>
    <row r="27" spans="1:16" ht="15" customHeight="1" x14ac:dyDescent="0.2">
      <c r="A27" s="30" t="s">
        <v>243</v>
      </c>
      <c r="B27" s="36"/>
      <c r="C27" s="31">
        <v>0.15</v>
      </c>
      <c r="D27" s="31">
        <v>0.02</v>
      </c>
      <c r="E27" s="32">
        <f t="shared" si="0"/>
        <v>0.83</v>
      </c>
      <c r="F27" s="33" t="s">
        <v>28</v>
      </c>
      <c r="G27" s="34" t="s">
        <v>768</v>
      </c>
      <c r="H27" s="57" t="e">
        <f>((Tablo1[[#This Row],[Esans Fiyat]]/#REF!*Tablo1[[#This Row],[Esans]]*100)+(#REF!/1000*Tablo1[[#This Row],[Su]]*100)+(#REF!/1000*Tablo1[[#This Row],[Alkol]]*100))*(#REF!/100)+#REF!</f>
        <v>#REF!</v>
      </c>
      <c r="I27" s="33" t="s">
        <v>776</v>
      </c>
      <c r="J27" s="51" t="e">
        <f>#REF!*Tablo1[[#This Row],[Esans]]</f>
        <v>#REF!</v>
      </c>
      <c r="K27" s="51" t="e">
        <f>#REF!*Tablo1[[#This Row],[Su]]</f>
        <v>#REF!</v>
      </c>
      <c r="L27" s="51" t="e">
        <f>#REF!*Tablo1[[#This Row],[Alkol]]</f>
        <v>#REF!</v>
      </c>
      <c r="M27" s="44"/>
      <c r="N27" s="51">
        <f>(Tablo1[[#This Row],[KALAN ESANS]]/Tablo1[[#This Row],[Esans]]*0.01)*(Tablo1[[#This Row],[Alkol]]*100)</f>
        <v>0</v>
      </c>
      <c r="O27" s="51">
        <f>(Tablo1[[#This Row],[KALAN ESANS]]/Tablo1[[#This Row],[Esans]]*0.01)*(Tablo1[[#This Row],[Su]]*100)</f>
        <v>0</v>
      </c>
      <c r="P27" s="51">
        <f>Tablo1[[#This Row],[KALAN ESANS]]+Tablo1[[#This Row],[ALKOL Mik]]+Tablo1[[#This Row],[SU Mik]]</f>
        <v>0</v>
      </c>
    </row>
    <row r="28" spans="1:16" ht="15" customHeight="1" x14ac:dyDescent="0.2">
      <c r="A28" s="30" t="s">
        <v>15</v>
      </c>
      <c r="B28" s="36"/>
      <c r="C28" s="31">
        <v>0.18</v>
      </c>
      <c r="D28" s="31">
        <v>0.02</v>
      </c>
      <c r="E28" s="32">
        <f t="shared" si="0"/>
        <v>0.8</v>
      </c>
      <c r="F28" s="33" t="s">
        <v>25</v>
      </c>
      <c r="G28" s="34" t="s">
        <v>768</v>
      </c>
      <c r="H28" s="57" t="e">
        <f>((Tablo1[[#This Row],[Esans Fiyat]]/#REF!*Tablo1[[#This Row],[Esans]]*100)+(#REF!/1000*Tablo1[[#This Row],[Su]]*100)+(#REF!/1000*Tablo1[[#This Row],[Alkol]]*100))*(#REF!/100)+#REF!</f>
        <v>#REF!</v>
      </c>
      <c r="I28" s="33" t="s">
        <v>776</v>
      </c>
      <c r="J28" s="51" t="e">
        <f>#REF!*Tablo1[[#This Row],[Esans]]</f>
        <v>#REF!</v>
      </c>
      <c r="K28" s="51" t="e">
        <f>#REF!*Tablo1[[#This Row],[Su]]</f>
        <v>#REF!</v>
      </c>
      <c r="L28" s="51" t="e">
        <f>#REF!*Tablo1[[#This Row],[Alkol]]</f>
        <v>#REF!</v>
      </c>
      <c r="M28" s="44"/>
      <c r="N28" s="51">
        <f>(Tablo1[[#This Row],[KALAN ESANS]]/Tablo1[[#This Row],[Esans]]*0.01)*(Tablo1[[#This Row],[Alkol]]*100)</f>
        <v>0</v>
      </c>
      <c r="O28" s="51">
        <f>(Tablo1[[#This Row],[KALAN ESANS]]/Tablo1[[#This Row],[Esans]]*0.01)*(Tablo1[[#This Row],[Su]]*100)</f>
        <v>0</v>
      </c>
      <c r="P28" s="51">
        <f>Tablo1[[#This Row],[KALAN ESANS]]+Tablo1[[#This Row],[ALKOL Mik]]+Tablo1[[#This Row],[SU Mik]]</f>
        <v>0</v>
      </c>
    </row>
    <row r="29" spans="1:16" ht="15" customHeight="1" x14ac:dyDescent="0.2">
      <c r="A29" s="30" t="s">
        <v>56</v>
      </c>
      <c r="B29" s="36"/>
      <c r="C29" s="31">
        <v>0.18</v>
      </c>
      <c r="D29" s="31">
        <v>0.02</v>
      </c>
      <c r="E29" s="32">
        <f t="shared" si="0"/>
        <v>0.8</v>
      </c>
      <c r="F29" s="33" t="s">
        <v>25</v>
      </c>
      <c r="G29" s="34" t="s">
        <v>768</v>
      </c>
      <c r="H29" s="57" t="e">
        <f>((Tablo1[[#This Row],[Esans Fiyat]]/#REF!*Tablo1[[#This Row],[Esans]]*100)+(#REF!/1000*Tablo1[[#This Row],[Su]]*100)+(#REF!/1000*Tablo1[[#This Row],[Alkol]]*100))*(#REF!/100)+#REF!</f>
        <v>#REF!</v>
      </c>
      <c r="I29" s="33" t="s">
        <v>778</v>
      </c>
      <c r="J29" s="51" t="e">
        <f>#REF!*Tablo1[[#This Row],[Esans]]</f>
        <v>#REF!</v>
      </c>
      <c r="K29" s="51" t="e">
        <f>#REF!*Tablo1[[#This Row],[Su]]</f>
        <v>#REF!</v>
      </c>
      <c r="L29" s="51" t="e">
        <f>#REF!*Tablo1[[#This Row],[Alkol]]</f>
        <v>#REF!</v>
      </c>
      <c r="M29" s="44"/>
      <c r="N29" s="51">
        <f>(Tablo1[[#This Row],[KALAN ESANS]]/Tablo1[[#This Row],[Esans]]*0.01)*(Tablo1[[#This Row],[Alkol]]*100)</f>
        <v>0</v>
      </c>
      <c r="O29" s="51">
        <f>(Tablo1[[#This Row],[KALAN ESANS]]/Tablo1[[#This Row],[Esans]]*0.01)*(Tablo1[[#This Row],[Su]]*100)</f>
        <v>0</v>
      </c>
      <c r="P29" s="51">
        <f>Tablo1[[#This Row],[KALAN ESANS]]+Tablo1[[#This Row],[ALKOL Mik]]+Tablo1[[#This Row],[SU Mik]]</f>
        <v>0</v>
      </c>
    </row>
    <row r="30" spans="1:16" ht="15" customHeight="1" x14ac:dyDescent="0.2">
      <c r="A30" s="30" t="s">
        <v>240</v>
      </c>
      <c r="B30" s="36"/>
      <c r="C30" s="31">
        <v>0.15</v>
      </c>
      <c r="D30" s="31">
        <v>0.02</v>
      </c>
      <c r="E30" s="32">
        <f t="shared" si="0"/>
        <v>0.83</v>
      </c>
      <c r="F30" s="33" t="s">
        <v>28</v>
      </c>
      <c r="G30" s="34" t="s">
        <v>768</v>
      </c>
      <c r="H30" s="57" t="e">
        <f>((Tablo1[[#This Row],[Esans Fiyat]]/#REF!*Tablo1[[#This Row],[Esans]]*100)+(#REF!/1000*Tablo1[[#This Row],[Su]]*100)+(#REF!/1000*Tablo1[[#This Row],[Alkol]]*100))*(#REF!/100)+#REF!</f>
        <v>#REF!</v>
      </c>
      <c r="I30" s="33" t="s">
        <v>776</v>
      </c>
      <c r="J30" s="51" t="e">
        <f>#REF!*Tablo1[[#This Row],[Esans]]</f>
        <v>#REF!</v>
      </c>
      <c r="K30" s="51" t="e">
        <f>#REF!*Tablo1[[#This Row],[Su]]</f>
        <v>#REF!</v>
      </c>
      <c r="L30" s="51" t="e">
        <f>#REF!*Tablo1[[#This Row],[Alkol]]</f>
        <v>#REF!</v>
      </c>
      <c r="M30" s="44"/>
      <c r="N30" s="51">
        <f>(Tablo1[[#This Row],[KALAN ESANS]]/Tablo1[[#This Row],[Esans]]*0.01)*(Tablo1[[#This Row],[Alkol]]*100)</f>
        <v>0</v>
      </c>
      <c r="O30" s="51">
        <f>(Tablo1[[#This Row],[KALAN ESANS]]/Tablo1[[#This Row],[Esans]]*0.01)*(Tablo1[[#This Row],[Su]]*100)</f>
        <v>0</v>
      </c>
      <c r="P30" s="51">
        <f>Tablo1[[#This Row],[KALAN ESANS]]+Tablo1[[#This Row],[ALKOL Mik]]+Tablo1[[#This Row],[SU Mik]]</f>
        <v>0</v>
      </c>
    </row>
    <row r="31" spans="1:16" ht="15" customHeight="1" x14ac:dyDescent="0.2">
      <c r="A31" s="30" t="s">
        <v>8</v>
      </c>
      <c r="B31" s="36"/>
      <c r="C31" s="31">
        <v>0.15</v>
      </c>
      <c r="D31" s="31">
        <v>0.02</v>
      </c>
      <c r="E31" s="32">
        <f t="shared" si="0"/>
        <v>0.83</v>
      </c>
      <c r="F31" s="33" t="s">
        <v>28</v>
      </c>
      <c r="G31" s="34" t="s">
        <v>768</v>
      </c>
      <c r="H31" s="57" t="e">
        <f>((Tablo1[[#This Row],[Esans Fiyat]]/#REF!*Tablo1[[#This Row],[Esans]]*100)+(#REF!/1000*Tablo1[[#This Row],[Su]]*100)+(#REF!/1000*Tablo1[[#This Row],[Alkol]]*100))*(#REF!/100)+#REF!</f>
        <v>#REF!</v>
      </c>
      <c r="I31" s="33" t="s">
        <v>778</v>
      </c>
      <c r="J31" s="51" t="e">
        <f>#REF!*Tablo1[[#This Row],[Esans]]</f>
        <v>#REF!</v>
      </c>
      <c r="K31" s="51" t="e">
        <f>#REF!*Tablo1[[#This Row],[Su]]</f>
        <v>#REF!</v>
      </c>
      <c r="L31" s="51" t="e">
        <f>#REF!*Tablo1[[#This Row],[Alkol]]</f>
        <v>#REF!</v>
      </c>
      <c r="M31" s="44"/>
      <c r="N31" s="51">
        <f>(Tablo1[[#This Row],[KALAN ESANS]]/Tablo1[[#This Row],[Esans]]*0.01)*(Tablo1[[#This Row],[Alkol]]*100)</f>
        <v>0</v>
      </c>
      <c r="O31" s="51">
        <f>(Tablo1[[#This Row],[KALAN ESANS]]/Tablo1[[#This Row],[Esans]]*0.01)*(Tablo1[[#This Row],[Su]]*100)</f>
        <v>0</v>
      </c>
      <c r="P31" s="51">
        <f>Tablo1[[#This Row],[KALAN ESANS]]+Tablo1[[#This Row],[ALKOL Mik]]+Tablo1[[#This Row],[SU Mik]]</f>
        <v>0</v>
      </c>
    </row>
    <row r="32" spans="1:16" ht="15" customHeight="1" x14ac:dyDescent="0.2">
      <c r="A32" s="30" t="s">
        <v>236</v>
      </c>
      <c r="B32" s="36"/>
      <c r="C32" s="31">
        <v>0.18</v>
      </c>
      <c r="D32" s="31">
        <v>0.02</v>
      </c>
      <c r="E32" s="32">
        <f t="shared" si="0"/>
        <v>0.8</v>
      </c>
      <c r="F32" s="33" t="s">
        <v>25</v>
      </c>
      <c r="G32" s="34" t="s">
        <v>768</v>
      </c>
      <c r="H32" s="57" t="e">
        <f>((Tablo1[[#This Row],[Esans Fiyat]]/#REF!*Tablo1[[#This Row],[Esans]]*100)+(#REF!/1000*Tablo1[[#This Row],[Su]]*100)+(#REF!/1000*Tablo1[[#This Row],[Alkol]]*100))*(#REF!/100)+#REF!</f>
        <v>#REF!</v>
      </c>
      <c r="I32" s="33" t="s">
        <v>776</v>
      </c>
      <c r="J32" s="51" t="e">
        <f>#REF!*Tablo1[[#This Row],[Esans]]</f>
        <v>#REF!</v>
      </c>
      <c r="K32" s="51" t="e">
        <f>#REF!*Tablo1[[#This Row],[Su]]</f>
        <v>#REF!</v>
      </c>
      <c r="L32" s="51" t="e">
        <f>#REF!*Tablo1[[#This Row],[Alkol]]</f>
        <v>#REF!</v>
      </c>
      <c r="M32" s="44"/>
      <c r="N32" s="51">
        <f>(Tablo1[[#This Row],[KALAN ESANS]]/Tablo1[[#This Row],[Esans]]*0.01)*(Tablo1[[#This Row],[Alkol]]*100)</f>
        <v>0</v>
      </c>
      <c r="O32" s="51">
        <f>(Tablo1[[#This Row],[KALAN ESANS]]/Tablo1[[#This Row],[Esans]]*0.01)*(Tablo1[[#This Row],[Su]]*100)</f>
        <v>0</v>
      </c>
      <c r="P32" s="51">
        <f>Tablo1[[#This Row],[KALAN ESANS]]+Tablo1[[#This Row],[ALKOL Mik]]+Tablo1[[#This Row],[SU Mik]]</f>
        <v>0</v>
      </c>
    </row>
    <row r="33" spans="1:16" ht="15" customHeight="1" x14ac:dyDescent="0.2">
      <c r="A33" s="30" t="s">
        <v>238</v>
      </c>
      <c r="B33" s="36"/>
      <c r="C33" s="31">
        <v>0.15</v>
      </c>
      <c r="D33" s="31">
        <v>0</v>
      </c>
      <c r="E33" s="32">
        <f t="shared" si="0"/>
        <v>0.85</v>
      </c>
      <c r="F33" s="33" t="s">
        <v>28</v>
      </c>
      <c r="G33" s="34" t="s">
        <v>768</v>
      </c>
      <c r="H33" s="57" t="e">
        <f>((Tablo1[[#This Row],[Esans Fiyat]]/#REF!*Tablo1[[#This Row],[Esans]]*100)+(#REF!/1000*Tablo1[[#This Row],[Su]]*100)+(#REF!/1000*Tablo1[[#This Row],[Alkol]]*100))*(#REF!/100)+#REF!</f>
        <v>#REF!</v>
      </c>
      <c r="I33" s="33" t="s">
        <v>776</v>
      </c>
      <c r="J33" s="51" t="e">
        <f>#REF!*Tablo1[[#This Row],[Esans]]</f>
        <v>#REF!</v>
      </c>
      <c r="K33" s="51" t="e">
        <f>#REF!*Tablo1[[#This Row],[Su]]</f>
        <v>#REF!</v>
      </c>
      <c r="L33" s="51" t="e">
        <f>#REF!*Tablo1[[#This Row],[Alkol]]</f>
        <v>#REF!</v>
      </c>
      <c r="M33" s="44"/>
      <c r="N33" s="51">
        <f>(Tablo1[[#This Row],[KALAN ESANS]]/Tablo1[[#This Row],[Esans]]*0.01)*(Tablo1[[#This Row],[Alkol]]*100)</f>
        <v>0</v>
      </c>
      <c r="O33" s="51">
        <f>(Tablo1[[#This Row],[KALAN ESANS]]/Tablo1[[#This Row],[Esans]]*0.01)*(Tablo1[[#This Row],[Su]]*100)</f>
        <v>0</v>
      </c>
      <c r="P33" s="51">
        <f>Tablo1[[#This Row],[KALAN ESANS]]+Tablo1[[#This Row],[ALKOL Mik]]+Tablo1[[#This Row],[SU Mik]]</f>
        <v>0</v>
      </c>
    </row>
    <row r="34" spans="1:16" ht="15" customHeight="1" x14ac:dyDescent="0.2">
      <c r="A34" s="30" t="s">
        <v>237</v>
      </c>
      <c r="B34" s="36"/>
      <c r="C34" s="31">
        <v>0.18</v>
      </c>
      <c r="D34" s="31">
        <v>0.02</v>
      </c>
      <c r="E34" s="32">
        <f t="shared" si="0"/>
        <v>0.8</v>
      </c>
      <c r="F34" s="33" t="s">
        <v>25</v>
      </c>
      <c r="G34" s="34" t="s">
        <v>768</v>
      </c>
      <c r="H34" s="57" t="e">
        <f>((Tablo1[[#This Row],[Esans Fiyat]]/#REF!*Tablo1[[#This Row],[Esans]]*100)+(#REF!/1000*Tablo1[[#This Row],[Su]]*100)+(#REF!/1000*Tablo1[[#This Row],[Alkol]]*100))*(#REF!/100)+#REF!</f>
        <v>#REF!</v>
      </c>
      <c r="I34" s="33" t="s">
        <v>776</v>
      </c>
      <c r="J34" s="51" t="e">
        <f>#REF!*Tablo1[[#This Row],[Esans]]</f>
        <v>#REF!</v>
      </c>
      <c r="K34" s="51" t="e">
        <f>#REF!*Tablo1[[#This Row],[Su]]</f>
        <v>#REF!</v>
      </c>
      <c r="L34" s="51" t="e">
        <f>#REF!*Tablo1[[#This Row],[Alkol]]</f>
        <v>#REF!</v>
      </c>
      <c r="M34" s="44"/>
      <c r="N34" s="51">
        <f>(Tablo1[[#This Row],[KALAN ESANS]]/Tablo1[[#This Row],[Esans]]*0.01)*(Tablo1[[#This Row],[Alkol]]*100)</f>
        <v>0</v>
      </c>
      <c r="O34" s="51">
        <f>(Tablo1[[#This Row],[KALAN ESANS]]/Tablo1[[#This Row],[Esans]]*0.01)*(Tablo1[[#This Row],[Su]]*100)</f>
        <v>0</v>
      </c>
      <c r="P34" s="51">
        <f>Tablo1[[#This Row],[KALAN ESANS]]+Tablo1[[#This Row],[ALKOL Mik]]+Tablo1[[#This Row],[SU Mik]]</f>
        <v>0</v>
      </c>
    </row>
    <row r="35" spans="1:16" ht="15" customHeight="1" x14ac:dyDescent="0.2">
      <c r="A35" s="30" t="s">
        <v>239</v>
      </c>
      <c r="B35" s="36"/>
      <c r="C35" s="31">
        <v>0.15</v>
      </c>
      <c r="D35" s="31">
        <v>0.02</v>
      </c>
      <c r="E35" s="32">
        <f t="shared" si="0"/>
        <v>0.83</v>
      </c>
      <c r="F35" s="33" t="s">
        <v>28</v>
      </c>
      <c r="G35" s="34" t="s">
        <v>768</v>
      </c>
      <c r="H35" s="57" t="e">
        <f>((Tablo1[[#This Row],[Esans Fiyat]]/#REF!*Tablo1[[#This Row],[Esans]]*100)+(#REF!/1000*Tablo1[[#This Row],[Su]]*100)+(#REF!/1000*Tablo1[[#This Row],[Alkol]]*100))*(#REF!/100)+#REF!</f>
        <v>#REF!</v>
      </c>
      <c r="I35" s="33" t="s">
        <v>778</v>
      </c>
      <c r="J35" s="51" t="e">
        <f>#REF!*Tablo1[[#This Row],[Esans]]</f>
        <v>#REF!</v>
      </c>
      <c r="K35" s="51" t="e">
        <f>#REF!*Tablo1[[#This Row],[Su]]</f>
        <v>#REF!</v>
      </c>
      <c r="L35" s="51" t="e">
        <f>#REF!*Tablo1[[#This Row],[Alkol]]</f>
        <v>#REF!</v>
      </c>
      <c r="M35" s="44"/>
      <c r="N35" s="51">
        <f>(Tablo1[[#This Row],[KALAN ESANS]]/Tablo1[[#This Row],[Esans]]*0.01)*(Tablo1[[#This Row],[Alkol]]*100)</f>
        <v>0</v>
      </c>
      <c r="O35" s="51">
        <f>(Tablo1[[#This Row],[KALAN ESANS]]/Tablo1[[#This Row],[Esans]]*0.01)*(Tablo1[[#This Row],[Su]]*100)</f>
        <v>0</v>
      </c>
      <c r="P35" s="51">
        <f>Tablo1[[#This Row],[KALAN ESANS]]+Tablo1[[#This Row],[ALKOL Mik]]+Tablo1[[#This Row],[SU Mik]]</f>
        <v>0</v>
      </c>
    </row>
    <row r="36" spans="1:16" ht="15" customHeight="1" x14ac:dyDescent="0.2">
      <c r="A36" s="30" t="s">
        <v>228</v>
      </c>
      <c r="B36" s="36"/>
      <c r="C36" s="31">
        <v>0.15</v>
      </c>
      <c r="D36" s="31">
        <v>0.02</v>
      </c>
      <c r="E36" s="32">
        <f t="shared" si="0"/>
        <v>0.83</v>
      </c>
      <c r="F36" s="33" t="s">
        <v>28</v>
      </c>
      <c r="G36" s="34" t="s">
        <v>768</v>
      </c>
      <c r="H36" s="57" t="e">
        <f>((Tablo1[[#This Row],[Esans Fiyat]]/#REF!*Tablo1[[#This Row],[Esans]]*100)+(#REF!/1000*Tablo1[[#This Row],[Su]]*100)+(#REF!/1000*Tablo1[[#This Row],[Alkol]]*100))*(#REF!/100)+#REF!</f>
        <v>#REF!</v>
      </c>
      <c r="I36" s="33" t="s">
        <v>772</v>
      </c>
      <c r="J36" s="51" t="e">
        <f>#REF!*Tablo1[[#This Row],[Esans]]</f>
        <v>#REF!</v>
      </c>
      <c r="K36" s="51" t="e">
        <f>#REF!*Tablo1[[#This Row],[Su]]</f>
        <v>#REF!</v>
      </c>
      <c r="L36" s="51" t="e">
        <f>#REF!*Tablo1[[#This Row],[Alkol]]</f>
        <v>#REF!</v>
      </c>
      <c r="M36" s="44"/>
      <c r="N36" s="51">
        <f>(Tablo1[[#This Row],[KALAN ESANS]]/Tablo1[[#This Row],[Esans]]*0.01)*(Tablo1[[#This Row],[Alkol]]*100)</f>
        <v>0</v>
      </c>
      <c r="O36" s="51">
        <f>(Tablo1[[#This Row],[KALAN ESANS]]/Tablo1[[#This Row],[Esans]]*0.01)*(Tablo1[[#This Row],[Su]]*100)</f>
        <v>0</v>
      </c>
      <c r="P36" s="51">
        <f>Tablo1[[#This Row],[KALAN ESANS]]+Tablo1[[#This Row],[ALKOL Mik]]+Tablo1[[#This Row],[SU Mik]]</f>
        <v>0</v>
      </c>
    </row>
    <row r="37" spans="1:16" ht="15" customHeight="1" x14ac:dyDescent="0.2">
      <c r="A37" s="30" t="s">
        <v>227</v>
      </c>
      <c r="B37" s="36"/>
      <c r="C37" s="31">
        <v>0.15</v>
      </c>
      <c r="D37" s="31">
        <v>0.02</v>
      </c>
      <c r="E37" s="32">
        <f t="shared" si="0"/>
        <v>0.83</v>
      </c>
      <c r="F37" s="33" t="s">
        <v>25</v>
      </c>
      <c r="G37" s="34" t="s">
        <v>768</v>
      </c>
      <c r="H37" s="57" t="e">
        <f>((Tablo1[[#This Row],[Esans Fiyat]]/#REF!*Tablo1[[#This Row],[Esans]]*100)+(#REF!/1000*Tablo1[[#This Row],[Su]]*100)+(#REF!/1000*Tablo1[[#This Row],[Alkol]]*100))*(#REF!/100)+#REF!</f>
        <v>#REF!</v>
      </c>
      <c r="I37" s="33" t="s">
        <v>772</v>
      </c>
      <c r="J37" s="51" t="e">
        <f>#REF!*Tablo1[[#This Row],[Esans]]</f>
        <v>#REF!</v>
      </c>
      <c r="K37" s="51" t="e">
        <f>#REF!*Tablo1[[#This Row],[Su]]</f>
        <v>#REF!</v>
      </c>
      <c r="L37" s="51" t="e">
        <f>#REF!*Tablo1[[#This Row],[Alkol]]</f>
        <v>#REF!</v>
      </c>
      <c r="M37" s="44"/>
      <c r="N37" s="51">
        <f>(Tablo1[[#This Row],[KALAN ESANS]]/Tablo1[[#This Row],[Esans]]*0.01)*(Tablo1[[#This Row],[Alkol]]*100)</f>
        <v>0</v>
      </c>
      <c r="O37" s="51">
        <f>(Tablo1[[#This Row],[KALAN ESANS]]/Tablo1[[#This Row],[Esans]]*0.01)*(Tablo1[[#This Row],[Su]]*100)</f>
        <v>0</v>
      </c>
      <c r="P37" s="51">
        <f>Tablo1[[#This Row],[KALAN ESANS]]+Tablo1[[#This Row],[ALKOL Mik]]+Tablo1[[#This Row],[SU Mik]]</f>
        <v>0</v>
      </c>
    </row>
    <row r="38" spans="1:16" ht="15" customHeight="1" x14ac:dyDescent="0.2">
      <c r="A38" s="30" t="s">
        <v>232</v>
      </c>
      <c r="B38" s="36"/>
      <c r="C38" s="31">
        <v>0.18</v>
      </c>
      <c r="D38" s="31">
        <v>0.02</v>
      </c>
      <c r="E38" s="32">
        <f t="shared" si="0"/>
        <v>0.8</v>
      </c>
      <c r="F38" s="33" t="s">
        <v>25</v>
      </c>
      <c r="G38" s="34" t="s">
        <v>768</v>
      </c>
      <c r="H38" s="57" t="e">
        <f>((Tablo1[[#This Row],[Esans Fiyat]]/#REF!*Tablo1[[#This Row],[Esans]]*100)+(#REF!/1000*Tablo1[[#This Row],[Su]]*100)+(#REF!/1000*Tablo1[[#This Row],[Alkol]]*100))*(#REF!/100)+#REF!</f>
        <v>#REF!</v>
      </c>
      <c r="I38" s="33" t="s">
        <v>778</v>
      </c>
      <c r="J38" s="51" t="e">
        <f>#REF!*Tablo1[[#This Row],[Esans]]</f>
        <v>#REF!</v>
      </c>
      <c r="K38" s="51" t="e">
        <f>#REF!*Tablo1[[#This Row],[Su]]</f>
        <v>#REF!</v>
      </c>
      <c r="L38" s="51" t="e">
        <f>#REF!*Tablo1[[#This Row],[Alkol]]</f>
        <v>#REF!</v>
      </c>
      <c r="M38" s="44"/>
      <c r="N38" s="51">
        <f>(Tablo1[[#This Row],[KALAN ESANS]]/Tablo1[[#This Row],[Esans]]*0.01)*(Tablo1[[#This Row],[Alkol]]*100)</f>
        <v>0</v>
      </c>
      <c r="O38" s="51">
        <f>(Tablo1[[#This Row],[KALAN ESANS]]/Tablo1[[#This Row],[Esans]]*0.01)*(Tablo1[[#This Row],[Su]]*100)</f>
        <v>0</v>
      </c>
      <c r="P38" s="51">
        <f>Tablo1[[#This Row],[KALAN ESANS]]+Tablo1[[#This Row],[ALKOL Mik]]+Tablo1[[#This Row],[SU Mik]]</f>
        <v>0</v>
      </c>
    </row>
    <row r="39" spans="1:16" ht="15" customHeight="1" x14ac:dyDescent="0.2">
      <c r="A39" s="30" t="s">
        <v>229</v>
      </c>
      <c r="B39" s="36"/>
      <c r="C39" s="31">
        <v>0.18</v>
      </c>
      <c r="D39" s="31">
        <v>0</v>
      </c>
      <c r="E39" s="32">
        <f t="shared" si="0"/>
        <v>0.82000000000000006</v>
      </c>
      <c r="F39" s="33" t="s">
        <v>25</v>
      </c>
      <c r="G39" s="34" t="s">
        <v>768</v>
      </c>
      <c r="H39" s="57" t="e">
        <f>((Tablo1[[#This Row],[Esans Fiyat]]/#REF!*Tablo1[[#This Row],[Esans]]*100)+(#REF!/1000*Tablo1[[#This Row],[Su]]*100)+(#REF!/1000*Tablo1[[#This Row],[Alkol]]*100))*(#REF!/100)+#REF!</f>
        <v>#REF!</v>
      </c>
      <c r="I39" s="33" t="s">
        <v>776</v>
      </c>
      <c r="J39" s="51" t="e">
        <f>#REF!*Tablo1[[#This Row],[Esans]]</f>
        <v>#REF!</v>
      </c>
      <c r="K39" s="51" t="e">
        <f>#REF!*Tablo1[[#This Row],[Su]]</f>
        <v>#REF!</v>
      </c>
      <c r="L39" s="51" t="e">
        <f>#REF!*Tablo1[[#This Row],[Alkol]]</f>
        <v>#REF!</v>
      </c>
      <c r="M39" s="44"/>
      <c r="N39" s="51">
        <f>(Tablo1[[#This Row],[KALAN ESANS]]/Tablo1[[#This Row],[Esans]]*0.01)*(Tablo1[[#This Row],[Alkol]]*100)</f>
        <v>0</v>
      </c>
      <c r="O39" s="51">
        <f>(Tablo1[[#This Row],[KALAN ESANS]]/Tablo1[[#This Row],[Esans]]*0.01)*(Tablo1[[#This Row],[Su]]*100)</f>
        <v>0</v>
      </c>
      <c r="P39" s="51">
        <f>Tablo1[[#This Row],[KALAN ESANS]]+Tablo1[[#This Row],[ALKOL Mik]]+Tablo1[[#This Row],[SU Mik]]</f>
        <v>0</v>
      </c>
    </row>
    <row r="40" spans="1:16" ht="15" customHeight="1" x14ac:dyDescent="0.2">
      <c r="A40" s="30" t="s">
        <v>230</v>
      </c>
      <c r="B40" s="36"/>
      <c r="C40" s="31">
        <v>0.18</v>
      </c>
      <c r="D40" s="31">
        <v>0.02</v>
      </c>
      <c r="E40" s="32">
        <f t="shared" si="0"/>
        <v>0.8</v>
      </c>
      <c r="F40" s="33" t="s">
        <v>25</v>
      </c>
      <c r="G40" s="34" t="s">
        <v>768</v>
      </c>
      <c r="H40" s="57" t="e">
        <f>((Tablo1[[#This Row],[Esans Fiyat]]/#REF!*Tablo1[[#This Row],[Esans]]*100)+(#REF!/1000*Tablo1[[#This Row],[Su]]*100)+(#REF!/1000*Tablo1[[#This Row],[Alkol]]*100))*(#REF!/100)+#REF!</f>
        <v>#REF!</v>
      </c>
      <c r="I40" s="33" t="s">
        <v>776</v>
      </c>
      <c r="J40" s="51" t="e">
        <f>#REF!*Tablo1[[#This Row],[Esans]]</f>
        <v>#REF!</v>
      </c>
      <c r="K40" s="51" t="e">
        <f>#REF!*Tablo1[[#This Row],[Su]]</f>
        <v>#REF!</v>
      </c>
      <c r="L40" s="51" t="e">
        <f>#REF!*Tablo1[[#This Row],[Alkol]]</f>
        <v>#REF!</v>
      </c>
      <c r="M40" s="44"/>
      <c r="N40" s="51">
        <f>(Tablo1[[#This Row],[KALAN ESANS]]/Tablo1[[#This Row],[Esans]]*0.01)*(Tablo1[[#This Row],[Alkol]]*100)</f>
        <v>0</v>
      </c>
      <c r="O40" s="51">
        <f>(Tablo1[[#This Row],[KALAN ESANS]]/Tablo1[[#This Row],[Esans]]*0.01)*(Tablo1[[#This Row],[Su]]*100)</f>
        <v>0</v>
      </c>
      <c r="P40" s="51">
        <f>Tablo1[[#This Row],[KALAN ESANS]]+Tablo1[[#This Row],[ALKOL Mik]]+Tablo1[[#This Row],[SU Mik]]</f>
        <v>0</v>
      </c>
    </row>
    <row r="41" spans="1:16" ht="15" customHeight="1" x14ac:dyDescent="0.2">
      <c r="A41" s="30" t="s">
        <v>234</v>
      </c>
      <c r="B41" s="36"/>
      <c r="C41" s="31">
        <v>0.18</v>
      </c>
      <c r="D41" s="31">
        <v>0.02</v>
      </c>
      <c r="E41" s="32">
        <f t="shared" si="0"/>
        <v>0.8</v>
      </c>
      <c r="F41" s="33" t="s">
        <v>25</v>
      </c>
      <c r="G41" s="34" t="s">
        <v>768</v>
      </c>
      <c r="H41" s="57" t="e">
        <f>((Tablo1[[#This Row],[Esans Fiyat]]/#REF!*Tablo1[[#This Row],[Esans]]*100)+(#REF!/1000*Tablo1[[#This Row],[Su]]*100)+(#REF!/1000*Tablo1[[#This Row],[Alkol]]*100))*(#REF!/100)+#REF!</f>
        <v>#REF!</v>
      </c>
      <c r="I41" s="33" t="s">
        <v>776</v>
      </c>
      <c r="J41" s="51" t="e">
        <f>#REF!*Tablo1[[#This Row],[Esans]]</f>
        <v>#REF!</v>
      </c>
      <c r="K41" s="51" t="e">
        <f>#REF!*Tablo1[[#This Row],[Su]]</f>
        <v>#REF!</v>
      </c>
      <c r="L41" s="51" t="e">
        <f>#REF!*Tablo1[[#This Row],[Alkol]]</f>
        <v>#REF!</v>
      </c>
      <c r="M41" s="44"/>
      <c r="N41" s="51">
        <f>(Tablo1[[#This Row],[KALAN ESANS]]/Tablo1[[#This Row],[Esans]]*0.01)*(Tablo1[[#This Row],[Alkol]]*100)</f>
        <v>0</v>
      </c>
      <c r="O41" s="51">
        <f>(Tablo1[[#This Row],[KALAN ESANS]]/Tablo1[[#This Row],[Esans]]*0.01)*(Tablo1[[#This Row],[Su]]*100)</f>
        <v>0</v>
      </c>
      <c r="P41" s="51">
        <f>Tablo1[[#This Row],[KALAN ESANS]]+Tablo1[[#This Row],[ALKOL Mik]]+Tablo1[[#This Row],[SU Mik]]</f>
        <v>0</v>
      </c>
    </row>
    <row r="42" spans="1:16" ht="15" customHeight="1" x14ac:dyDescent="0.2">
      <c r="A42" s="30" t="s">
        <v>233</v>
      </c>
      <c r="B42" s="36"/>
      <c r="C42" s="31">
        <v>0.18</v>
      </c>
      <c r="D42" s="31">
        <v>0.02</v>
      </c>
      <c r="E42" s="32">
        <f t="shared" si="0"/>
        <v>0.8</v>
      </c>
      <c r="F42" s="33" t="s">
        <v>25</v>
      </c>
      <c r="G42" s="34" t="s">
        <v>768</v>
      </c>
      <c r="H42" s="57" t="e">
        <f>((Tablo1[[#This Row],[Esans Fiyat]]/#REF!*Tablo1[[#This Row],[Esans]]*100)+(#REF!/1000*Tablo1[[#This Row],[Su]]*100)+(#REF!/1000*Tablo1[[#This Row],[Alkol]]*100))*(#REF!/100)+#REF!</f>
        <v>#REF!</v>
      </c>
      <c r="I42" s="33" t="s">
        <v>776</v>
      </c>
      <c r="J42" s="51" t="e">
        <f>#REF!*Tablo1[[#This Row],[Esans]]</f>
        <v>#REF!</v>
      </c>
      <c r="K42" s="51" t="e">
        <f>#REF!*Tablo1[[#This Row],[Su]]</f>
        <v>#REF!</v>
      </c>
      <c r="L42" s="51" t="e">
        <f>#REF!*Tablo1[[#This Row],[Alkol]]</f>
        <v>#REF!</v>
      </c>
      <c r="M42" s="44"/>
      <c r="N42" s="51">
        <f>(Tablo1[[#This Row],[KALAN ESANS]]/Tablo1[[#This Row],[Esans]]*0.01)*(Tablo1[[#This Row],[Alkol]]*100)</f>
        <v>0</v>
      </c>
      <c r="O42" s="51">
        <f>(Tablo1[[#This Row],[KALAN ESANS]]/Tablo1[[#This Row],[Esans]]*0.01)*(Tablo1[[#This Row],[Su]]*100)</f>
        <v>0</v>
      </c>
      <c r="P42" s="51">
        <f>Tablo1[[#This Row],[KALAN ESANS]]+Tablo1[[#This Row],[ALKOL Mik]]+Tablo1[[#This Row],[SU Mik]]</f>
        <v>0</v>
      </c>
    </row>
    <row r="43" spans="1:16" ht="15" customHeight="1" x14ac:dyDescent="0.2">
      <c r="A43" s="30" t="s">
        <v>235</v>
      </c>
      <c r="B43" s="36"/>
      <c r="C43" s="31">
        <v>0.14000000000000001</v>
      </c>
      <c r="D43" s="31">
        <v>0.02</v>
      </c>
      <c r="E43" s="32">
        <f t="shared" si="0"/>
        <v>0.84</v>
      </c>
      <c r="F43" s="33" t="s">
        <v>28</v>
      </c>
      <c r="G43" s="34" t="s">
        <v>768</v>
      </c>
      <c r="H43" s="57" t="e">
        <f>((Tablo1[[#This Row],[Esans Fiyat]]/#REF!*Tablo1[[#This Row],[Esans]]*100)+(#REF!/1000*Tablo1[[#This Row],[Su]]*100)+(#REF!/1000*Tablo1[[#This Row],[Alkol]]*100))*(#REF!/100)+#REF!</f>
        <v>#REF!</v>
      </c>
      <c r="I43" s="33" t="s">
        <v>772</v>
      </c>
      <c r="J43" s="51" t="e">
        <f>#REF!*Tablo1[[#This Row],[Esans]]</f>
        <v>#REF!</v>
      </c>
      <c r="K43" s="51" t="e">
        <f>#REF!*Tablo1[[#This Row],[Su]]</f>
        <v>#REF!</v>
      </c>
      <c r="L43" s="51" t="e">
        <f>#REF!*Tablo1[[#This Row],[Alkol]]</f>
        <v>#REF!</v>
      </c>
      <c r="M43" s="44"/>
      <c r="N43" s="51">
        <f>(Tablo1[[#This Row],[KALAN ESANS]]/Tablo1[[#This Row],[Esans]]*0.01)*(Tablo1[[#This Row],[Alkol]]*100)</f>
        <v>0</v>
      </c>
      <c r="O43" s="51">
        <f>(Tablo1[[#This Row],[KALAN ESANS]]/Tablo1[[#This Row],[Esans]]*0.01)*(Tablo1[[#This Row],[Su]]*100)</f>
        <v>0</v>
      </c>
      <c r="P43" s="51">
        <f>Tablo1[[#This Row],[KALAN ESANS]]+Tablo1[[#This Row],[ALKOL Mik]]+Tablo1[[#This Row],[SU Mik]]</f>
        <v>0</v>
      </c>
    </row>
    <row r="44" spans="1:16" ht="15" customHeight="1" x14ac:dyDescent="0.2">
      <c r="A44" s="30" t="s">
        <v>231</v>
      </c>
      <c r="B44" s="36"/>
      <c r="C44" s="31">
        <v>0.15</v>
      </c>
      <c r="D44" s="31">
        <v>0.02</v>
      </c>
      <c r="E44" s="32">
        <f t="shared" si="0"/>
        <v>0.83</v>
      </c>
      <c r="F44" s="33" t="s">
        <v>25</v>
      </c>
      <c r="G44" s="34" t="s">
        <v>768</v>
      </c>
      <c r="H44" s="57" t="e">
        <f>((Tablo1[[#This Row],[Esans Fiyat]]/#REF!*Tablo1[[#This Row],[Esans]]*100)+(#REF!/1000*Tablo1[[#This Row],[Su]]*100)+(#REF!/1000*Tablo1[[#This Row],[Alkol]]*100))*(#REF!/100)+#REF!</f>
        <v>#REF!</v>
      </c>
      <c r="I44" s="33" t="s">
        <v>772</v>
      </c>
      <c r="J44" s="51" t="e">
        <f>#REF!*Tablo1[[#This Row],[Esans]]</f>
        <v>#REF!</v>
      </c>
      <c r="K44" s="51" t="e">
        <f>#REF!*Tablo1[[#This Row],[Su]]</f>
        <v>#REF!</v>
      </c>
      <c r="L44" s="51" t="e">
        <f>#REF!*Tablo1[[#This Row],[Alkol]]</f>
        <v>#REF!</v>
      </c>
      <c r="M44" s="44"/>
      <c r="N44" s="51">
        <f>(Tablo1[[#This Row],[KALAN ESANS]]/Tablo1[[#This Row],[Esans]]*0.01)*(Tablo1[[#This Row],[Alkol]]*100)</f>
        <v>0</v>
      </c>
      <c r="O44" s="51">
        <f>(Tablo1[[#This Row],[KALAN ESANS]]/Tablo1[[#This Row],[Esans]]*0.01)*(Tablo1[[#This Row],[Su]]*100)</f>
        <v>0</v>
      </c>
      <c r="P44" s="51">
        <f>Tablo1[[#This Row],[KALAN ESANS]]+Tablo1[[#This Row],[ALKOL Mik]]+Tablo1[[#This Row],[SU Mik]]</f>
        <v>0</v>
      </c>
    </row>
    <row r="45" spans="1:16" ht="15" customHeight="1" x14ac:dyDescent="0.2">
      <c r="A45" s="30" t="s">
        <v>226</v>
      </c>
      <c r="B45" s="36"/>
      <c r="C45" s="31">
        <v>0.25</v>
      </c>
      <c r="D45" s="31">
        <v>0.02</v>
      </c>
      <c r="E45" s="32">
        <f t="shared" si="0"/>
        <v>0.73</v>
      </c>
      <c r="F45" s="33" t="s">
        <v>25</v>
      </c>
      <c r="G45" s="34" t="s">
        <v>768</v>
      </c>
      <c r="H45" s="57" t="e">
        <f>((Tablo1[[#This Row],[Esans Fiyat]]/#REF!*Tablo1[[#This Row],[Esans]]*100)+(#REF!/1000*Tablo1[[#This Row],[Su]]*100)+(#REF!/1000*Tablo1[[#This Row],[Alkol]]*100))*(#REF!/100)+#REF!</f>
        <v>#REF!</v>
      </c>
      <c r="I45" s="33" t="s">
        <v>772</v>
      </c>
      <c r="J45" s="51" t="e">
        <f>#REF!*Tablo1[[#This Row],[Esans]]</f>
        <v>#REF!</v>
      </c>
      <c r="K45" s="51" t="e">
        <f>#REF!*Tablo1[[#This Row],[Su]]</f>
        <v>#REF!</v>
      </c>
      <c r="L45" s="51" t="e">
        <f>#REF!*Tablo1[[#This Row],[Alkol]]</f>
        <v>#REF!</v>
      </c>
      <c r="M45" s="44"/>
      <c r="N45" s="51">
        <f>(Tablo1[[#This Row],[KALAN ESANS]]/Tablo1[[#This Row],[Esans]]*0.01)*(Tablo1[[#This Row],[Alkol]]*100)</f>
        <v>0</v>
      </c>
      <c r="O45" s="51">
        <f>(Tablo1[[#This Row],[KALAN ESANS]]/Tablo1[[#This Row],[Esans]]*0.01)*(Tablo1[[#This Row],[Su]]*100)</f>
        <v>0</v>
      </c>
      <c r="P45" s="51">
        <f>Tablo1[[#This Row],[KALAN ESANS]]+Tablo1[[#This Row],[ALKOL Mik]]+Tablo1[[#This Row],[SU Mik]]</f>
        <v>0</v>
      </c>
    </row>
    <row r="46" spans="1:16" ht="15" customHeight="1" x14ac:dyDescent="0.2">
      <c r="A46" s="30" t="s">
        <v>203</v>
      </c>
      <c r="B46" s="36"/>
      <c r="C46" s="31">
        <v>0.2</v>
      </c>
      <c r="D46" s="31">
        <v>0</v>
      </c>
      <c r="E46" s="32">
        <f t="shared" si="0"/>
        <v>0.8</v>
      </c>
      <c r="F46" s="33" t="s">
        <v>25</v>
      </c>
      <c r="G46" s="34" t="s">
        <v>768</v>
      </c>
      <c r="H46" s="57" t="e">
        <f>((Tablo1[[#This Row],[Esans Fiyat]]/#REF!*Tablo1[[#This Row],[Esans]]*100)+(#REF!/1000*Tablo1[[#This Row],[Su]]*100)+(#REF!/1000*Tablo1[[#This Row],[Alkol]]*100))*(#REF!/100)+#REF!</f>
        <v>#REF!</v>
      </c>
      <c r="I46" s="33" t="s">
        <v>774</v>
      </c>
      <c r="J46" s="51" t="e">
        <f>#REF!*Tablo1[[#This Row],[Esans]]</f>
        <v>#REF!</v>
      </c>
      <c r="K46" s="51" t="e">
        <f>#REF!*Tablo1[[#This Row],[Su]]</f>
        <v>#REF!</v>
      </c>
      <c r="L46" s="51" t="e">
        <f>#REF!*Tablo1[[#This Row],[Alkol]]</f>
        <v>#REF!</v>
      </c>
      <c r="M46" s="44"/>
      <c r="N46" s="51">
        <f>(Tablo1[[#This Row],[KALAN ESANS]]/Tablo1[[#This Row],[Esans]]*0.01)*(Tablo1[[#This Row],[Alkol]]*100)</f>
        <v>0</v>
      </c>
      <c r="O46" s="51">
        <f>(Tablo1[[#This Row],[KALAN ESANS]]/Tablo1[[#This Row],[Esans]]*0.01)*(Tablo1[[#This Row],[Su]]*100)</f>
        <v>0</v>
      </c>
      <c r="P46" s="51">
        <f>Tablo1[[#This Row],[KALAN ESANS]]+Tablo1[[#This Row],[ALKOL Mik]]+Tablo1[[#This Row],[SU Mik]]</f>
        <v>0</v>
      </c>
    </row>
    <row r="47" spans="1:16" ht="15" customHeight="1" x14ac:dyDescent="0.2">
      <c r="A47" s="30" t="s">
        <v>55</v>
      </c>
      <c r="B47" s="36"/>
      <c r="C47" s="31">
        <v>0.15</v>
      </c>
      <c r="D47" s="31">
        <v>0.02</v>
      </c>
      <c r="E47" s="32">
        <f t="shared" si="0"/>
        <v>0.83</v>
      </c>
      <c r="F47" s="33" t="s">
        <v>28</v>
      </c>
      <c r="G47" s="34" t="s">
        <v>768</v>
      </c>
      <c r="H47" s="57" t="e">
        <f>((Tablo1[[#This Row],[Esans Fiyat]]/#REF!*Tablo1[[#This Row],[Esans]]*100)+(#REF!/1000*Tablo1[[#This Row],[Su]]*100)+(#REF!/1000*Tablo1[[#This Row],[Alkol]]*100))*(#REF!/100)+#REF!</f>
        <v>#REF!</v>
      </c>
      <c r="I47" s="33" t="s">
        <v>776</v>
      </c>
      <c r="J47" s="51" t="e">
        <f>#REF!*Tablo1[[#This Row],[Esans]]</f>
        <v>#REF!</v>
      </c>
      <c r="K47" s="51" t="e">
        <f>#REF!*Tablo1[[#This Row],[Su]]</f>
        <v>#REF!</v>
      </c>
      <c r="L47" s="51" t="e">
        <f>#REF!*Tablo1[[#This Row],[Alkol]]</f>
        <v>#REF!</v>
      </c>
      <c r="M47" s="44"/>
      <c r="N47" s="51">
        <f>(Tablo1[[#This Row],[KALAN ESANS]]/Tablo1[[#This Row],[Esans]]*0.01)*(Tablo1[[#This Row],[Alkol]]*100)</f>
        <v>0</v>
      </c>
      <c r="O47" s="51">
        <f>(Tablo1[[#This Row],[KALAN ESANS]]/Tablo1[[#This Row],[Esans]]*0.01)*(Tablo1[[#This Row],[Su]]*100)</f>
        <v>0</v>
      </c>
      <c r="P47" s="51">
        <f>Tablo1[[#This Row],[KALAN ESANS]]+Tablo1[[#This Row],[ALKOL Mik]]+Tablo1[[#This Row],[SU Mik]]</f>
        <v>0</v>
      </c>
    </row>
    <row r="48" spans="1:16" ht="15" customHeight="1" x14ac:dyDescent="0.2">
      <c r="A48" s="30" t="s">
        <v>16</v>
      </c>
      <c r="B48" s="36"/>
      <c r="C48" s="31">
        <v>0.15</v>
      </c>
      <c r="D48" s="31">
        <v>0.02</v>
      </c>
      <c r="E48" s="32">
        <f t="shared" si="0"/>
        <v>0.83</v>
      </c>
      <c r="F48" s="33" t="s">
        <v>28</v>
      </c>
      <c r="G48" s="34" t="s">
        <v>768</v>
      </c>
      <c r="H48" s="57" t="e">
        <f>((Tablo1[[#This Row],[Esans Fiyat]]/#REF!*Tablo1[[#This Row],[Esans]]*100)+(#REF!/1000*Tablo1[[#This Row],[Su]]*100)+(#REF!/1000*Tablo1[[#This Row],[Alkol]]*100))*(#REF!/100)+#REF!</f>
        <v>#REF!</v>
      </c>
      <c r="I48" s="33" t="s">
        <v>772</v>
      </c>
      <c r="J48" s="51" t="e">
        <f>#REF!*Tablo1[[#This Row],[Esans]]</f>
        <v>#REF!</v>
      </c>
      <c r="K48" s="51" t="e">
        <f>#REF!*Tablo1[[#This Row],[Su]]</f>
        <v>#REF!</v>
      </c>
      <c r="L48" s="51" t="e">
        <f>#REF!*Tablo1[[#This Row],[Alkol]]</f>
        <v>#REF!</v>
      </c>
      <c r="M48" s="44"/>
      <c r="N48" s="51">
        <f>(Tablo1[[#This Row],[KALAN ESANS]]/Tablo1[[#This Row],[Esans]]*0.01)*(Tablo1[[#This Row],[Alkol]]*100)</f>
        <v>0</v>
      </c>
      <c r="O48" s="51">
        <f>(Tablo1[[#This Row],[KALAN ESANS]]/Tablo1[[#This Row],[Esans]]*0.01)*(Tablo1[[#This Row],[Su]]*100)</f>
        <v>0</v>
      </c>
      <c r="P48" s="51">
        <f>Tablo1[[#This Row],[KALAN ESANS]]+Tablo1[[#This Row],[ALKOL Mik]]+Tablo1[[#This Row],[SU Mik]]</f>
        <v>0</v>
      </c>
    </row>
    <row r="49" spans="1:16" ht="15" customHeight="1" x14ac:dyDescent="0.2">
      <c r="A49" s="30" t="s">
        <v>225</v>
      </c>
      <c r="B49" s="36"/>
      <c r="C49" s="31">
        <v>0.15</v>
      </c>
      <c r="D49" s="31">
        <v>0.02</v>
      </c>
      <c r="E49" s="32">
        <f t="shared" si="0"/>
        <v>0.83</v>
      </c>
      <c r="F49" s="33" t="s">
        <v>28</v>
      </c>
      <c r="G49" s="34" t="s">
        <v>768</v>
      </c>
      <c r="H49" s="57" t="e">
        <f>((Tablo1[[#This Row],[Esans Fiyat]]/#REF!*Tablo1[[#This Row],[Esans]]*100)+(#REF!/1000*Tablo1[[#This Row],[Su]]*100)+(#REF!/1000*Tablo1[[#This Row],[Alkol]]*100))*(#REF!/100)+#REF!</f>
        <v>#REF!</v>
      </c>
      <c r="I49" s="33" t="s">
        <v>776</v>
      </c>
      <c r="J49" s="51" t="e">
        <f>#REF!*Tablo1[[#This Row],[Esans]]</f>
        <v>#REF!</v>
      </c>
      <c r="K49" s="51" t="e">
        <f>#REF!*Tablo1[[#This Row],[Su]]</f>
        <v>#REF!</v>
      </c>
      <c r="L49" s="51" t="e">
        <f>#REF!*Tablo1[[#This Row],[Alkol]]</f>
        <v>#REF!</v>
      </c>
      <c r="M49" s="44"/>
      <c r="N49" s="51">
        <f>(Tablo1[[#This Row],[KALAN ESANS]]/Tablo1[[#This Row],[Esans]]*0.01)*(Tablo1[[#This Row],[Alkol]]*100)</f>
        <v>0</v>
      </c>
      <c r="O49" s="51">
        <f>(Tablo1[[#This Row],[KALAN ESANS]]/Tablo1[[#This Row],[Esans]]*0.01)*(Tablo1[[#This Row],[Su]]*100)</f>
        <v>0</v>
      </c>
      <c r="P49" s="51">
        <f>Tablo1[[#This Row],[KALAN ESANS]]+Tablo1[[#This Row],[ALKOL Mik]]+Tablo1[[#This Row],[SU Mik]]</f>
        <v>0</v>
      </c>
    </row>
    <row r="50" spans="1:16" ht="15" customHeight="1" x14ac:dyDescent="0.2">
      <c r="A50" s="30" t="s">
        <v>224</v>
      </c>
      <c r="B50" s="36"/>
      <c r="C50" s="31">
        <v>0.12</v>
      </c>
      <c r="D50" s="31">
        <v>0.02</v>
      </c>
      <c r="E50" s="32">
        <f t="shared" si="0"/>
        <v>0.86</v>
      </c>
      <c r="F50" s="33" t="s">
        <v>28</v>
      </c>
      <c r="G50" s="34" t="s">
        <v>768</v>
      </c>
      <c r="H50" s="57" t="e">
        <f>((Tablo1[[#This Row],[Esans Fiyat]]/#REF!*Tablo1[[#This Row],[Esans]]*100)+(#REF!/1000*Tablo1[[#This Row],[Su]]*100)+(#REF!/1000*Tablo1[[#This Row],[Alkol]]*100))*(#REF!/100)+#REF!</f>
        <v>#REF!</v>
      </c>
      <c r="I50" s="33" t="s">
        <v>772</v>
      </c>
      <c r="J50" s="51" t="e">
        <f>#REF!*Tablo1[[#This Row],[Esans]]</f>
        <v>#REF!</v>
      </c>
      <c r="K50" s="51" t="e">
        <f>#REF!*Tablo1[[#This Row],[Su]]</f>
        <v>#REF!</v>
      </c>
      <c r="L50" s="51" t="e">
        <f>#REF!*Tablo1[[#This Row],[Alkol]]</f>
        <v>#REF!</v>
      </c>
      <c r="M50" s="44"/>
      <c r="N50" s="51">
        <f>(Tablo1[[#This Row],[KALAN ESANS]]/Tablo1[[#This Row],[Esans]]*0.01)*(Tablo1[[#This Row],[Alkol]]*100)</f>
        <v>0</v>
      </c>
      <c r="O50" s="51">
        <f>(Tablo1[[#This Row],[KALAN ESANS]]/Tablo1[[#This Row],[Esans]]*0.01)*(Tablo1[[#This Row],[Su]]*100)</f>
        <v>0</v>
      </c>
      <c r="P50" s="51">
        <f>Tablo1[[#This Row],[KALAN ESANS]]+Tablo1[[#This Row],[ALKOL Mik]]+Tablo1[[#This Row],[SU Mik]]</f>
        <v>0</v>
      </c>
    </row>
    <row r="51" spans="1:16" ht="15" customHeight="1" x14ac:dyDescent="0.2">
      <c r="A51" s="30" t="s">
        <v>221</v>
      </c>
      <c r="B51" s="36"/>
      <c r="C51" s="31">
        <v>0.15</v>
      </c>
      <c r="D51" s="31">
        <v>0.02</v>
      </c>
      <c r="E51" s="32">
        <f t="shared" si="0"/>
        <v>0.83</v>
      </c>
      <c r="F51" s="33" t="s">
        <v>28</v>
      </c>
      <c r="G51" s="34" t="s">
        <v>768</v>
      </c>
      <c r="H51" s="57" t="e">
        <f>((Tablo1[[#This Row],[Esans Fiyat]]/#REF!*Tablo1[[#This Row],[Esans]]*100)+(#REF!/1000*Tablo1[[#This Row],[Su]]*100)+(#REF!/1000*Tablo1[[#This Row],[Alkol]]*100))*(#REF!/100)+#REF!</f>
        <v>#REF!</v>
      </c>
      <c r="I51" s="33" t="s">
        <v>776</v>
      </c>
      <c r="J51" s="51" t="e">
        <f>#REF!*Tablo1[[#This Row],[Esans]]</f>
        <v>#REF!</v>
      </c>
      <c r="K51" s="51" t="e">
        <f>#REF!*Tablo1[[#This Row],[Su]]</f>
        <v>#REF!</v>
      </c>
      <c r="L51" s="51" t="e">
        <f>#REF!*Tablo1[[#This Row],[Alkol]]</f>
        <v>#REF!</v>
      </c>
      <c r="M51" s="44"/>
      <c r="N51" s="51">
        <f>(Tablo1[[#This Row],[KALAN ESANS]]/Tablo1[[#This Row],[Esans]]*0.01)*(Tablo1[[#This Row],[Alkol]]*100)</f>
        <v>0</v>
      </c>
      <c r="O51" s="51">
        <f>(Tablo1[[#This Row],[KALAN ESANS]]/Tablo1[[#This Row],[Esans]]*0.01)*(Tablo1[[#This Row],[Su]]*100)</f>
        <v>0</v>
      </c>
      <c r="P51" s="51">
        <f>Tablo1[[#This Row],[KALAN ESANS]]+Tablo1[[#This Row],[ALKOL Mik]]+Tablo1[[#This Row],[SU Mik]]</f>
        <v>0</v>
      </c>
    </row>
    <row r="52" spans="1:16" ht="15" customHeight="1" x14ac:dyDescent="0.2">
      <c r="A52" s="30" t="s">
        <v>223</v>
      </c>
      <c r="B52" s="36"/>
      <c r="C52" s="31">
        <v>0.15</v>
      </c>
      <c r="D52" s="31">
        <v>0</v>
      </c>
      <c r="E52" s="32">
        <f t="shared" si="0"/>
        <v>0.85</v>
      </c>
      <c r="F52" s="33" t="s">
        <v>28</v>
      </c>
      <c r="G52" s="34" t="s">
        <v>768</v>
      </c>
      <c r="H52" s="57" t="e">
        <f>((Tablo1[[#This Row],[Esans Fiyat]]/#REF!*Tablo1[[#This Row],[Esans]]*100)+(#REF!/1000*Tablo1[[#This Row],[Su]]*100)+(#REF!/1000*Tablo1[[#This Row],[Alkol]]*100))*(#REF!/100)+#REF!</f>
        <v>#REF!</v>
      </c>
      <c r="I52" s="33" t="s">
        <v>776</v>
      </c>
      <c r="J52" s="51" t="e">
        <f>#REF!*Tablo1[[#This Row],[Esans]]</f>
        <v>#REF!</v>
      </c>
      <c r="K52" s="51" t="e">
        <f>#REF!*Tablo1[[#This Row],[Su]]</f>
        <v>#REF!</v>
      </c>
      <c r="L52" s="51" t="e">
        <f>#REF!*Tablo1[[#This Row],[Alkol]]</f>
        <v>#REF!</v>
      </c>
      <c r="M52" s="44"/>
      <c r="N52" s="51">
        <f>(Tablo1[[#This Row],[KALAN ESANS]]/Tablo1[[#This Row],[Esans]]*0.01)*(Tablo1[[#This Row],[Alkol]]*100)</f>
        <v>0</v>
      </c>
      <c r="O52" s="51">
        <f>(Tablo1[[#This Row],[KALAN ESANS]]/Tablo1[[#This Row],[Esans]]*0.01)*(Tablo1[[#This Row],[Su]]*100)</f>
        <v>0</v>
      </c>
      <c r="P52" s="51">
        <f>Tablo1[[#This Row],[KALAN ESANS]]+Tablo1[[#This Row],[ALKOL Mik]]+Tablo1[[#This Row],[SU Mik]]</f>
        <v>0</v>
      </c>
    </row>
    <row r="53" spans="1:16" ht="15" customHeight="1" x14ac:dyDescent="0.2">
      <c r="A53" s="30" t="s">
        <v>222</v>
      </c>
      <c r="B53" s="36"/>
      <c r="C53" s="31">
        <v>0.15</v>
      </c>
      <c r="D53" s="31">
        <v>0.02</v>
      </c>
      <c r="E53" s="32">
        <f t="shared" si="0"/>
        <v>0.83</v>
      </c>
      <c r="F53" s="33" t="s">
        <v>28</v>
      </c>
      <c r="G53" s="34" t="s">
        <v>768</v>
      </c>
      <c r="H53" s="57" t="e">
        <f>((Tablo1[[#This Row],[Esans Fiyat]]/#REF!*Tablo1[[#This Row],[Esans]]*100)+(#REF!/1000*Tablo1[[#This Row],[Su]]*100)+(#REF!/1000*Tablo1[[#This Row],[Alkol]]*100))*(#REF!/100)+#REF!</f>
        <v>#REF!</v>
      </c>
      <c r="I53" s="33" t="s">
        <v>776</v>
      </c>
      <c r="J53" s="51" t="e">
        <f>#REF!*Tablo1[[#This Row],[Esans]]</f>
        <v>#REF!</v>
      </c>
      <c r="K53" s="51" t="e">
        <f>#REF!*Tablo1[[#This Row],[Su]]</f>
        <v>#REF!</v>
      </c>
      <c r="L53" s="51" t="e">
        <f>#REF!*Tablo1[[#This Row],[Alkol]]</f>
        <v>#REF!</v>
      </c>
      <c r="M53" s="44"/>
      <c r="N53" s="51">
        <f>(Tablo1[[#This Row],[KALAN ESANS]]/Tablo1[[#This Row],[Esans]]*0.01)*(Tablo1[[#This Row],[Alkol]]*100)</f>
        <v>0</v>
      </c>
      <c r="O53" s="51">
        <f>(Tablo1[[#This Row],[KALAN ESANS]]/Tablo1[[#This Row],[Esans]]*0.01)*(Tablo1[[#This Row],[Su]]*100)</f>
        <v>0</v>
      </c>
      <c r="P53" s="51">
        <f>Tablo1[[#This Row],[KALAN ESANS]]+Tablo1[[#This Row],[ALKOL Mik]]+Tablo1[[#This Row],[SU Mik]]</f>
        <v>0</v>
      </c>
    </row>
    <row r="54" spans="1:16" ht="15" customHeight="1" x14ac:dyDescent="0.2">
      <c r="A54" s="30" t="s">
        <v>219</v>
      </c>
      <c r="B54" s="36"/>
      <c r="C54" s="31">
        <v>0.15</v>
      </c>
      <c r="D54" s="31">
        <v>0.02</v>
      </c>
      <c r="E54" s="32">
        <f t="shared" si="0"/>
        <v>0.83</v>
      </c>
      <c r="F54" s="33" t="s">
        <v>28</v>
      </c>
      <c r="G54" s="34" t="s">
        <v>768</v>
      </c>
      <c r="H54" s="57" t="e">
        <f>((Tablo1[[#This Row],[Esans Fiyat]]/#REF!*Tablo1[[#This Row],[Esans]]*100)+(#REF!/1000*Tablo1[[#This Row],[Su]]*100)+(#REF!/1000*Tablo1[[#This Row],[Alkol]]*100))*(#REF!/100)+#REF!</f>
        <v>#REF!</v>
      </c>
      <c r="I54" s="33" t="s">
        <v>774</v>
      </c>
      <c r="J54" s="51" t="e">
        <f>#REF!*Tablo1[[#This Row],[Esans]]</f>
        <v>#REF!</v>
      </c>
      <c r="K54" s="51" t="e">
        <f>#REF!*Tablo1[[#This Row],[Su]]</f>
        <v>#REF!</v>
      </c>
      <c r="L54" s="51" t="e">
        <f>#REF!*Tablo1[[#This Row],[Alkol]]</f>
        <v>#REF!</v>
      </c>
      <c r="M54" s="44"/>
      <c r="N54" s="51">
        <f>(Tablo1[[#This Row],[KALAN ESANS]]/Tablo1[[#This Row],[Esans]]*0.01)*(Tablo1[[#This Row],[Alkol]]*100)</f>
        <v>0</v>
      </c>
      <c r="O54" s="51">
        <f>(Tablo1[[#This Row],[KALAN ESANS]]/Tablo1[[#This Row],[Esans]]*0.01)*(Tablo1[[#This Row],[Su]]*100)</f>
        <v>0</v>
      </c>
      <c r="P54" s="51">
        <f>Tablo1[[#This Row],[KALAN ESANS]]+Tablo1[[#This Row],[ALKOL Mik]]+Tablo1[[#This Row],[SU Mik]]</f>
        <v>0</v>
      </c>
    </row>
    <row r="55" spans="1:16" ht="15" customHeight="1" x14ac:dyDescent="0.2">
      <c r="A55" s="30" t="s">
        <v>220</v>
      </c>
      <c r="B55" s="36"/>
      <c r="C55" s="31">
        <v>0.15</v>
      </c>
      <c r="D55" s="31">
        <v>0.02</v>
      </c>
      <c r="E55" s="32">
        <f t="shared" si="0"/>
        <v>0.83</v>
      </c>
      <c r="F55" s="33" t="s">
        <v>28</v>
      </c>
      <c r="G55" s="34" t="s">
        <v>768</v>
      </c>
      <c r="H55" s="57" t="e">
        <f>((Tablo1[[#This Row],[Esans Fiyat]]/#REF!*Tablo1[[#This Row],[Esans]]*100)+(#REF!/1000*Tablo1[[#This Row],[Su]]*100)+(#REF!/1000*Tablo1[[#This Row],[Alkol]]*100))*(#REF!/100)+#REF!</f>
        <v>#REF!</v>
      </c>
      <c r="I55" s="33" t="s">
        <v>778</v>
      </c>
      <c r="J55" s="51" t="e">
        <f>#REF!*Tablo1[[#This Row],[Esans]]</f>
        <v>#REF!</v>
      </c>
      <c r="K55" s="51" t="e">
        <f>#REF!*Tablo1[[#This Row],[Su]]</f>
        <v>#REF!</v>
      </c>
      <c r="L55" s="51" t="e">
        <f>#REF!*Tablo1[[#This Row],[Alkol]]</f>
        <v>#REF!</v>
      </c>
      <c r="M55" s="44"/>
      <c r="N55" s="51">
        <f>(Tablo1[[#This Row],[KALAN ESANS]]/Tablo1[[#This Row],[Esans]]*0.01)*(Tablo1[[#This Row],[Alkol]]*100)</f>
        <v>0</v>
      </c>
      <c r="O55" s="51">
        <f>(Tablo1[[#This Row],[KALAN ESANS]]/Tablo1[[#This Row],[Esans]]*0.01)*(Tablo1[[#This Row],[Su]]*100)</f>
        <v>0</v>
      </c>
      <c r="P55" s="51">
        <f>Tablo1[[#This Row],[KALAN ESANS]]+Tablo1[[#This Row],[ALKOL Mik]]+Tablo1[[#This Row],[SU Mik]]</f>
        <v>0</v>
      </c>
    </row>
    <row r="56" spans="1:16" ht="15" customHeight="1" x14ac:dyDescent="0.2">
      <c r="A56" s="30" t="s">
        <v>218</v>
      </c>
      <c r="B56" s="36"/>
      <c r="C56" s="31">
        <v>0.15</v>
      </c>
      <c r="D56" s="31">
        <v>0.02</v>
      </c>
      <c r="E56" s="32">
        <f t="shared" si="0"/>
        <v>0.83</v>
      </c>
      <c r="F56" s="33" t="s">
        <v>28</v>
      </c>
      <c r="G56" s="34" t="s">
        <v>768</v>
      </c>
      <c r="H56" s="57" t="e">
        <f>((Tablo1[[#This Row],[Esans Fiyat]]/#REF!*Tablo1[[#This Row],[Esans]]*100)+(#REF!/1000*Tablo1[[#This Row],[Su]]*100)+(#REF!/1000*Tablo1[[#This Row],[Alkol]]*100))*(#REF!/100)+#REF!</f>
        <v>#REF!</v>
      </c>
      <c r="I56" s="33" t="s">
        <v>776</v>
      </c>
      <c r="J56" s="51" t="e">
        <f>#REF!*Tablo1[[#This Row],[Esans]]</f>
        <v>#REF!</v>
      </c>
      <c r="K56" s="51" t="e">
        <f>#REF!*Tablo1[[#This Row],[Su]]</f>
        <v>#REF!</v>
      </c>
      <c r="L56" s="51" t="e">
        <f>#REF!*Tablo1[[#This Row],[Alkol]]</f>
        <v>#REF!</v>
      </c>
      <c r="M56" s="44"/>
      <c r="N56" s="51">
        <f>(Tablo1[[#This Row],[KALAN ESANS]]/Tablo1[[#This Row],[Esans]]*0.01)*(Tablo1[[#This Row],[Alkol]]*100)</f>
        <v>0</v>
      </c>
      <c r="O56" s="51">
        <f>(Tablo1[[#This Row],[KALAN ESANS]]/Tablo1[[#This Row],[Esans]]*0.01)*(Tablo1[[#This Row],[Su]]*100)</f>
        <v>0</v>
      </c>
      <c r="P56" s="51">
        <f>Tablo1[[#This Row],[KALAN ESANS]]+Tablo1[[#This Row],[ALKOL Mik]]+Tablo1[[#This Row],[SU Mik]]</f>
        <v>0</v>
      </c>
    </row>
    <row r="57" spans="1:16" ht="15" customHeight="1" x14ac:dyDescent="0.2">
      <c r="A57" s="30" t="s">
        <v>217</v>
      </c>
      <c r="B57" s="36"/>
      <c r="C57" s="31">
        <v>0.15</v>
      </c>
      <c r="D57" s="31">
        <v>0.02</v>
      </c>
      <c r="E57" s="32">
        <f t="shared" si="0"/>
        <v>0.83</v>
      </c>
      <c r="F57" s="33" t="s">
        <v>28</v>
      </c>
      <c r="G57" s="34" t="s">
        <v>768</v>
      </c>
      <c r="H57" s="57" t="e">
        <f>((Tablo1[[#This Row],[Esans Fiyat]]/#REF!*Tablo1[[#This Row],[Esans]]*100)+(#REF!/1000*Tablo1[[#This Row],[Su]]*100)+(#REF!/1000*Tablo1[[#This Row],[Alkol]]*100))*(#REF!/100)+#REF!</f>
        <v>#REF!</v>
      </c>
      <c r="I57" s="33" t="s">
        <v>776</v>
      </c>
      <c r="J57" s="51" t="e">
        <f>#REF!*Tablo1[[#This Row],[Esans]]</f>
        <v>#REF!</v>
      </c>
      <c r="K57" s="51" t="e">
        <f>#REF!*Tablo1[[#This Row],[Su]]</f>
        <v>#REF!</v>
      </c>
      <c r="L57" s="51" t="e">
        <f>#REF!*Tablo1[[#This Row],[Alkol]]</f>
        <v>#REF!</v>
      </c>
      <c r="M57" s="44"/>
      <c r="N57" s="51">
        <f>(Tablo1[[#This Row],[KALAN ESANS]]/Tablo1[[#This Row],[Esans]]*0.01)*(Tablo1[[#This Row],[Alkol]]*100)</f>
        <v>0</v>
      </c>
      <c r="O57" s="51">
        <f>(Tablo1[[#This Row],[KALAN ESANS]]/Tablo1[[#This Row],[Esans]]*0.01)*(Tablo1[[#This Row],[Su]]*100)</f>
        <v>0</v>
      </c>
      <c r="P57" s="51">
        <f>Tablo1[[#This Row],[KALAN ESANS]]+Tablo1[[#This Row],[ALKOL Mik]]+Tablo1[[#This Row],[SU Mik]]</f>
        <v>0</v>
      </c>
    </row>
    <row r="58" spans="1:16" ht="15" customHeight="1" x14ac:dyDescent="0.2">
      <c r="A58" s="30" t="s">
        <v>216</v>
      </c>
      <c r="B58" s="36"/>
      <c r="C58" s="31">
        <v>0.2</v>
      </c>
      <c r="D58" s="31">
        <v>0.02</v>
      </c>
      <c r="E58" s="32">
        <f t="shared" si="0"/>
        <v>0.78</v>
      </c>
      <c r="F58" s="33" t="s">
        <v>25</v>
      </c>
      <c r="G58" s="34" t="s">
        <v>768</v>
      </c>
      <c r="H58" s="57" t="e">
        <f>((Tablo1[[#This Row],[Esans Fiyat]]/#REF!*Tablo1[[#This Row],[Esans]]*100)+(#REF!/1000*Tablo1[[#This Row],[Su]]*100)+(#REF!/1000*Tablo1[[#This Row],[Alkol]]*100))*(#REF!/100)+#REF!</f>
        <v>#REF!</v>
      </c>
      <c r="I58" s="33" t="s">
        <v>776</v>
      </c>
      <c r="J58" s="51" t="e">
        <f>#REF!*Tablo1[[#This Row],[Esans]]</f>
        <v>#REF!</v>
      </c>
      <c r="K58" s="51" t="e">
        <f>#REF!*Tablo1[[#This Row],[Su]]</f>
        <v>#REF!</v>
      </c>
      <c r="L58" s="51" t="e">
        <f>#REF!*Tablo1[[#This Row],[Alkol]]</f>
        <v>#REF!</v>
      </c>
      <c r="M58" s="44"/>
      <c r="N58" s="51">
        <f>(Tablo1[[#This Row],[KALAN ESANS]]/Tablo1[[#This Row],[Esans]]*0.01)*(Tablo1[[#This Row],[Alkol]]*100)</f>
        <v>0</v>
      </c>
      <c r="O58" s="51">
        <f>(Tablo1[[#This Row],[KALAN ESANS]]/Tablo1[[#This Row],[Esans]]*0.01)*(Tablo1[[#This Row],[Su]]*100)</f>
        <v>0</v>
      </c>
      <c r="P58" s="51">
        <f>Tablo1[[#This Row],[KALAN ESANS]]+Tablo1[[#This Row],[ALKOL Mik]]+Tablo1[[#This Row],[SU Mik]]</f>
        <v>0</v>
      </c>
    </row>
    <row r="59" spans="1:16" ht="15" customHeight="1" x14ac:dyDescent="0.2">
      <c r="A59" s="30" t="s">
        <v>215</v>
      </c>
      <c r="B59" s="36"/>
      <c r="C59" s="31">
        <v>0.11</v>
      </c>
      <c r="D59" s="31">
        <v>0.02</v>
      </c>
      <c r="E59" s="32">
        <f t="shared" si="0"/>
        <v>0.87</v>
      </c>
      <c r="F59" s="33" t="s">
        <v>28</v>
      </c>
      <c r="G59" s="34" t="s">
        <v>768</v>
      </c>
      <c r="H59" s="57" t="e">
        <f>((Tablo1[[#This Row],[Esans Fiyat]]/#REF!*Tablo1[[#This Row],[Esans]]*100)+(#REF!/1000*Tablo1[[#This Row],[Su]]*100)+(#REF!/1000*Tablo1[[#This Row],[Alkol]]*100))*(#REF!/100)+#REF!</f>
        <v>#REF!</v>
      </c>
      <c r="I59" s="33" t="s">
        <v>772</v>
      </c>
      <c r="J59" s="51" t="e">
        <f>#REF!*Tablo1[[#This Row],[Esans]]</f>
        <v>#REF!</v>
      </c>
      <c r="K59" s="51" t="e">
        <f>#REF!*Tablo1[[#This Row],[Su]]</f>
        <v>#REF!</v>
      </c>
      <c r="L59" s="51" t="e">
        <f>#REF!*Tablo1[[#This Row],[Alkol]]</f>
        <v>#REF!</v>
      </c>
      <c r="M59" s="44"/>
      <c r="N59" s="51">
        <f>(Tablo1[[#This Row],[KALAN ESANS]]/Tablo1[[#This Row],[Esans]]*0.01)*(Tablo1[[#This Row],[Alkol]]*100)</f>
        <v>0</v>
      </c>
      <c r="O59" s="51">
        <f>(Tablo1[[#This Row],[KALAN ESANS]]/Tablo1[[#This Row],[Esans]]*0.01)*(Tablo1[[#This Row],[Su]]*100)</f>
        <v>0</v>
      </c>
      <c r="P59" s="51">
        <f>Tablo1[[#This Row],[KALAN ESANS]]+Tablo1[[#This Row],[ALKOL Mik]]+Tablo1[[#This Row],[SU Mik]]</f>
        <v>0</v>
      </c>
    </row>
    <row r="60" spans="1:16" ht="15" customHeight="1" x14ac:dyDescent="0.2">
      <c r="A60" s="30" t="s">
        <v>214</v>
      </c>
      <c r="B60" s="36"/>
      <c r="C60" s="31">
        <v>0.14000000000000001</v>
      </c>
      <c r="D60" s="31">
        <v>0.02</v>
      </c>
      <c r="E60" s="32">
        <f t="shared" si="0"/>
        <v>0.84</v>
      </c>
      <c r="F60" s="33" t="s">
        <v>28</v>
      </c>
      <c r="G60" s="34" t="s">
        <v>768</v>
      </c>
      <c r="H60" s="57" t="e">
        <f>((Tablo1[[#This Row],[Esans Fiyat]]/#REF!*Tablo1[[#This Row],[Esans]]*100)+(#REF!/1000*Tablo1[[#This Row],[Su]]*100)+(#REF!/1000*Tablo1[[#This Row],[Alkol]]*100))*(#REF!/100)+#REF!</f>
        <v>#REF!</v>
      </c>
      <c r="I60" s="33" t="s">
        <v>772</v>
      </c>
      <c r="J60" s="51" t="e">
        <f>#REF!*Tablo1[[#This Row],[Esans]]</f>
        <v>#REF!</v>
      </c>
      <c r="K60" s="51" t="e">
        <f>#REF!*Tablo1[[#This Row],[Su]]</f>
        <v>#REF!</v>
      </c>
      <c r="L60" s="51" t="e">
        <f>#REF!*Tablo1[[#This Row],[Alkol]]</f>
        <v>#REF!</v>
      </c>
      <c r="M60" s="44"/>
      <c r="N60" s="51">
        <f>(Tablo1[[#This Row],[KALAN ESANS]]/Tablo1[[#This Row],[Esans]]*0.01)*(Tablo1[[#This Row],[Alkol]]*100)</f>
        <v>0</v>
      </c>
      <c r="O60" s="51">
        <f>(Tablo1[[#This Row],[KALAN ESANS]]/Tablo1[[#This Row],[Esans]]*0.01)*(Tablo1[[#This Row],[Su]]*100)</f>
        <v>0</v>
      </c>
      <c r="P60" s="51">
        <f>Tablo1[[#This Row],[KALAN ESANS]]+Tablo1[[#This Row],[ALKOL Mik]]+Tablo1[[#This Row],[SU Mik]]</f>
        <v>0</v>
      </c>
    </row>
    <row r="61" spans="1:16" ht="15" customHeight="1" x14ac:dyDescent="0.2">
      <c r="A61" s="30" t="s">
        <v>41</v>
      </c>
      <c r="B61" s="36"/>
      <c r="C61" s="31">
        <v>0.15</v>
      </c>
      <c r="D61" s="31">
        <v>0</v>
      </c>
      <c r="E61" s="32">
        <f t="shared" si="0"/>
        <v>0.85</v>
      </c>
      <c r="F61" s="33" t="s">
        <v>28</v>
      </c>
      <c r="G61" s="34" t="s">
        <v>768</v>
      </c>
      <c r="H61" s="57" t="e">
        <f>((Tablo1[[#This Row],[Esans Fiyat]]/#REF!*Tablo1[[#This Row],[Esans]]*100)+(#REF!/1000*Tablo1[[#This Row],[Su]]*100)+(#REF!/1000*Tablo1[[#This Row],[Alkol]]*100))*(#REF!/100)+#REF!</f>
        <v>#REF!</v>
      </c>
      <c r="I61" s="33" t="s">
        <v>772</v>
      </c>
      <c r="J61" s="51" t="e">
        <f>#REF!*Tablo1[[#This Row],[Esans]]</f>
        <v>#REF!</v>
      </c>
      <c r="K61" s="51" t="e">
        <f>#REF!*Tablo1[[#This Row],[Su]]</f>
        <v>#REF!</v>
      </c>
      <c r="L61" s="51" t="e">
        <f>#REF!*Tablo1[[#This Row],[Alkol]]</f>
        <v>#REF!</v>
      </c>
      <c r="M61" s="44"/>
      <c r="N61" s="51">
        <f>(Tablo1[[#This Row],[KALAN ESANS]]/Tablo1[[#This Row],[Esans]]*0.01)*(Tablo1[[#This Row],[Alkol]]*100)</f>
        <v>0</v>
      </c>
      <c r="O61" s="51">
        <f>(Tablo1[[#This Row],[KALAN ESANS]]/Tablo1[[#This Row],[Esans]]*0.01)*(Tablo1[[#This Row],[Su]]*100)</f>
        <v>0</v>
      </c>
      <c r="P61" s="51">
        <f>Tablo1[[#This Row],[KALAN ESANS]]+Tablo1[[#This Row],[ALKOL Mik]]+Tablo1[[#This Row],[SU Mik]]</f>
        <v>0</v>
      </c>
    </row>
    <row r="62" spans="1:16" ht="15" customHeight="1" x14ac:dyDescent="0.2">
      <c r="A62" s="30" t="s">
        <v>53</v>
      </c>
      <c r="B62" s="36"/>
      <c r="C62" s="31">
        <v>0.15</v>
      </c>
      <c r="D62" s="31">
        <v>0.02</v>
      </c>
      <c r="E62" s="32">
        <f t="shared" si="0"/>
        <v>0.83</v>
      </c>
      <c r="F62" s="33" t="s">
        <v>28</v>
      </c>
      <c r="G62" s="34" t="s">
        <v>768</v>
      </c>
      <c r="H62" s="57" t="e">
        <f>((Tablo1[[#This Row],[Esans Fiyat]]/#REF!*Tablo1[[#This Row],[Esans]]*100)+(#REF!/1000*Tablo1[[#This Row],[Su]]*100)+(#REF!/1000*Tablo1[[#This Row],[Alkol]]*100))*(#REF!/100)+#REF!</f>
        <v>#REF!</v>
      </c>
      <c r="I62" s="33" t="s">
        <v>776</v>
      </c>
      <c r="J62" s="51" t="e">
        <f>#REF!*Tablo1[[#This Row],[Esans]]</f>
        <v>#REF!</v>
      </c>
      <c r="K62" s="51" t="e">
        <f>#REF!*Tablo1[[#This Row],[Su]]</f>
        <v>#REF!</v>
      </c>
      <c r="L62" s="51" t="e">
        <f>#REF!*Tablo1[[#This Row],[Alkol]]</f>
        <v>#REF!</v>
      </c>
      <c r="M62" s="44"/>
      <c r="N62" s="51">
        <f>(Tablo1[[#This Row],[KALAN ESANS]]/Tablo1[[#This Row],[Esans]]*0.01)*(Tablo1[[#This Row],[Alkol]]*100)</f>
        <v>0</v>
      </c>
      <c r="O62" s="51">
        <f>(Tablo1[[#This Row],[KALAN ESANS]]/Tablo1[[#This Row],[Esans]]*0.01)*(Tablo1[[#This Row],[Su]]*100)</f>
        <v>0</v>
      </c>
      <c r="P62" s="51">
        <f>Tablo1[[#This Row],[KALAN ESANS]]+Tablo1[[#This Row],[ALKOL Mik]]+Tablo1[[#This Row],[SU Mik]]</f>
        <v>0</v>
      </c>
    </row>
    <row r="63" spans="1:16" ht="15" customHeight="1" x14ac:dyDescent="0.2">
      <c r="A63" s="30" t="s">
        <v>54</v>
      </c>
      <c r="B63" s="36"/>
      <c r="C63" s="31">
        <v>0.15</v>
      </c>
      <c r="D63" s="31">
        <v>0.02</v>
      </c>
      <c r="E63" s="32">
        <f t="shared" si="0"/>
        <v>0.83</v>
      </c>
      <c r="F63" s="33" t="s">
        <v>28</v>
      </c>
      <c r="G63" s="34" t="s">
        <v>768</v>
      </c>
      <c r="H63" s="57" t="e">
        <f>((Tablo1[[#This Row],[Esans Fiyat]]/#REF!*Tablo1[[#This Row],[Esans]]*100)+(#REF!/1000*Tablo1[[#This Row],[Su]]*100)+(#REF!/1000*Tablo1[[#This Row],[Alkol]]*100))*(#REF!/100)+#REF!</f>
        <v>#REF!</v>
      </c>
      <c r="I63" s="33" t="s">
        <v>776</v>
      </c>
      <c r="J63" s="51" t="e">
        <f>#REF!*Tablo1[[#This Row],[Esans]]</f>
        <v>#REF!</v>
      </c>
      <c r="K63" s="51" t="e">
        <f>#REF!*Tablo1[[#This Row],[Su]]</f>
        <v>#REF!</v>
      </c>
      <c r="L63" s="51" t="e">
        <f>#REF!*Tablo1[[#This Row],[Alkol]]</f>
        <v>#REF!</v>
      </c>
      <c r="M63" s="44"/>
      <c r="N63" s="51">
        <f>(Tablo1[[#This Row],[KALAN ESANS]]/Tablo1[[#This Row],[Esans]]*0.01)*(Tablo1[[#This Row],[Alkol]]*100)</f>
        <v>0</v>
      </c>
      <c r="O63" s="51">
        <f>(Tablo1[[#This Row],[KALAN ESANS]]/Tablo1[[#This Row],[Esans]]*0.01)*(Tablo1[[#This Row],[Su]]*100)</f>
        <v>0</v>
      </c>
      <c r="P63" s="51">
        <f>Tablo1[[#This Row],[KALAN ESANS]]+Tablo1[[#This Row],[ALKOL Mik]]+Tablo1[[#This Row],[SU Mik]]</f>
        <v>0</v>
      </c>
    </row>
    <row r="64" spans="1:16" ht="15" customHeight="1" x14ac:dyDescent="0.2">
      <c r="A64" s="30" t="s">
        <v>213</v>
      </c>
      <c r="B64" s="36"/>
      <c r="C64" s="31">
        <v>0.18</v>
      </c>
      <c r="D64" s="31">
        <v>0.02</v>
      </c>
      <c r="E64" s="32">
        <f t="shared" si="0"/>
        <v>0.8</v>
      </c>
      <c r="F64" s="33" t="s">
        <v>25</v>
      </c>
      <c r="G64" s="34" t="s">
        <v>768</v>
      </c>
      <c r="H64" s="57" t="e">
        <f>((Tablo1[[#This Row],[Esans Fiyat]]/#REF!*Tablo1[[#This Row],[Esans]]*100)+(#REF!/1000*Tablo1[[#This Row],[Su]]*100)+(#REF!/1000*Tablo1[[#This Row],[Alkol]]*100))*(#REF!/100)+#REF!</f>
        <v>#REF!</v>
      </c>
      <c r="I64" s="33" t="s">
        <v>772</v>
      </c>
      <c r="J64" s="51" t="e">
        <f>#REF!*Tablo1[[#This Row],[Esans]]</f>
        <v>#REF!</v>
      </c>
      <c r="K64" s="51" t="e">
        <f>#REF!*Tablo1[[#This Row],[Su]]</f>
        <v>#REF!</v>
      </c>
      <c r="L64" s="51" t="e">
        <f>#REF!*Tablo1[[#This Row],[Alkol]]</f>
        <v>#REF!</v>
      </c>
      <c r="M64" s="44"/>
      <c r="N64" s="51">
        <f>(Tablo1[[#This Row],[KALAN ESANS]]/Tablo1[[#This Row],[Esans]]*0.01)*(Tablo1[[#This Row],[Alkol]]*100)</f>
        <v>0</v>
      </c>
      <c r="O64" s="51">
        <f>(Tablo1[[#This Row],[KALAN ESANS]]/Tablo1[[#This Row],[Esans]]*0.01)*(Tablo1[[#This Row],[Su]]*100)</f>
        <v>0</v>
      </c>
      <c r="P64" s="51">
        <f>Tablo1[[#This Row],[KALAN ESANS]]+Tablo1[[#This Row],[ALKOL Mik]]+Tablo1[[#This Row],[SU Mik]]</f>
        <v>0</v>
      </c>
    </row>
    <row r="65" spans="1:16" ht="15" customHeight="1" x14ac:dyDescent="0.2">
      <c r="A65" s="30" t="s">
        <v>212</v>
      </c>
      <c r="B65" s="36"/>
      <c r="C65" s="31">
        <v>0.17</v>
      </c>
      <c r="D65" s="31">
        <v>0.02</v>
      </c>
      <c r="E65" s="32">
        <f t="shared" si="0"/>
        <v>0.80999999999999994</v>
      </c>
      <c r="F65" s="33" t="s">
        <v>28</v>
      </c>
      <c r="G65" s="34" t="s">
        <v>768</v>
      </c>
      <c r="H65" s="57" t="e">
        <f>((Tablo1[[#This Row],[Esans Fiyat]]/#REF!*Tablo1[[#This Row],[Esans]]*100)+(#REF!/1000*Tablo1[[#This Row],[Su]]*100)+(#REF!/1000*Tablo1[[#This Row],[Alkol]]*100))*(#REF!/100)+#REF!</f>
        <v>#REF!</v>
      </c>
      <c r="I65" s="33" t="s">
        <v>772</v>
      </c>
      <c r="J65" s="51" t="e">
        <f>#REF!*Tablo1[[#This Row],[Esans]]</f>
        <v>#REF!</v>
      </c>
      <c r="K65" s="51" t="e">
        <f>#REF!*Tablo1[[#This Row],[Su]]</f>
        <v>#REF!</v>
      </c>
      <c r="L65" s="51" t="e">
        <f>#REF!*Tablo1[[#This Row],[Alkol]]</f>
        <v>#REF!</v>
      </c>
      <c r="M65" s="44"/>
      <c r="N65" s="51">
        <f>(Tablo1[[#This Row],[KALAN ESANS]]/Tablo1[[#This Row],[Esans]]*0.01)*(Tablo1[[#This Row],[Alkol]]*100)</f>
        <v>0</v>
      </c>
      <c r="O65" s="51">
        <f>(Tablo1[[#This Row],[KALAN ESANS]]/Tablo1[[#This Row],[Esans]]*0.01)*(Tablo1[[#This Row],[Su]]*100)</f>
        <v>0</v>
      </c>
      <c r="P65" s="51">
        <f>Tablo1[[#This Row],[KALAN ESANS]]+Tablo1[[#This Row],[ALKOL Mik]]+Tablo1[[#This Row],[SU Mik]]</f>
        <v>0</v>
      </c>
    </row>
    <row r="66" spans="1:16" ht="15" customHeight="1" x14ac:dyDescent="0.2">
      <c r="A66" s="30" t="s">
        <v>211</v>
      </c>
      <c r="B66" s="36"/>
      <c r="C66" s="31">
        <v>0.13</v>
      </c>
      <c r="D66" s="31">
        <v>0.02</v>
      </c>
      <c r="E66" s="32">
        <f t="shared" si="0"/>
        <v>0.85</v>
      </c>
      <c r="F66" s="33" t="s">
        <v>28</v>
      </c>
      <c r="G66" s="34" t="s">
        <v>768</v>
      </c>
      <c r="H66" s="57" t="e">
        <f>((Tablo1[[#This Row],[Esans Fiyat]]/#REF!*Tablo1[[#This Row],[Esans]]*100)+(#REF!/1000*Tablo1[[#This Row],[Su]]*100)+(#REF!/1000*Tablo1[[#This Row],[Alkol]]*100))*(#REF!/100)+#REF!</f>
        <v>#REF!</v>
      </c>
      <c r="I66" s="33" t="s">
        <v>772</v>
      </c>
      <c r="J66" s="51" t="e">
        <f>#REF!*Tablo1[[#This Row],[Esans]]</f>
        <v>#REF!</v>
      </c>
      <c r="K66" s="51" t="e">
        <f>#REF!*Tablo1[[#This Row],[Su]]</f>
        <v>#REF!</v>
      </c>
      <c r="L66" s="51" t="e">
        <f>#REF!*Tablo1[[#This Row],[Alkol]]</f>
        <v>#REF!</v>
      </c>
      <c r="M66" s="44"/>
      <c r="N66" s="51">
        <f>(Tablo1[[#This Row],[KALAN ESANS]]/Tablo1[[#This Row],[Esans]]*0.01)*(Tablo1[[#This Row],[Alkol]]*100)</f>
        <v>0</v>
      </c>
      <c r="O66" s="51">
        <f>(Tablo1[[#This Row],[KALAN ESANS]]/Tablo1[[#This Row],[Esans]]*0.01)*(Tablo1[[#This Row],[Su]]*100)</f>
        <v>0</v>
      </c>
      <c r="P66" s="51">
        <f>Tablo1[[#This Row],[KALAN ESANS]]+Tablo1[[#This Row],[ALKOL Mik]]+Tablo1[[#This Row],[SU Mik]]</f>
        <v>0</v>
      </c>
    </row>
    <row r="67" spans="1:16" ht="15" customHeight="1" x14ac:dyDescent="0.2">
      <c r="A67" s="30" t="s">
        <v>12</v>
      </c>
      <c r="B67" s="36"/>
      <c r="C67" s="31">
        <v>0.2</v>
      </c>
      <c r="D67" s="31">
        <v>0.02</v>
      </c>
      <c r="E67" s="32">
        <f t="shared" si="0"/>
        <v>0.78</v>
      </c>
      <c r="F67" s="33" t="s">
        <v>25</v>
      </c>
      <c r="G67" s="34" t="s">
        <v>768</v>
      </c>
      <c r="H67" s="57" t="e">
        <f>((Tablo1[[#This Row],[Esans Fiyat]]/#REF!*Tablo1[[#This Row],[Esans]]*100)+(#REF!/1000*Tablo1[[#This Row],[Su]]*100)+(#REF!/1000*Tablo1[[#This Row],[Alkol]]*100))*(#REF!/100)+#REF!</f>
        <v>#REF!</v>
      </c>
      <c r="I67" s="33" t="s">
        <v>772</v>
      </c>
      <c r="J67" s="51" t="e">
        <f>#REF!*Tablo1[[#This Row],[Esans]]</f>
        <v>#REF!</v>
      </c>
      <c r="K67" s="51" t="e">
        <f>#REF!*Tablo1[[#This Row],[Su]]</f>
        <v>#REF!</v>
      </c>
      <c r="L67" s="51" t="e">
        <f>#REF!*Tablo1[[#This Row],[Alkol]]</f>
        <v>#REF!</v>
      </c>
      <c r="M67" s="44"/>
      <c r="N67" s="51">
        <f>(Tablo1[[#This Row],[KALAN ESANS]]/Tablo1[[#This Row],[Esans]]*0.01)*(Tablo1[[#This Row],[Alkol]]*100)</f>
        <v>0</v>
      </c>
      <c r="O67" s="51">
        <f>(Tablo1[[#This Row],[KALAN ESANS]]/Tablo1[[#This Row],[Esans]]*0.01)*(Tablo1[[#This Row],[Su]]*100)</f>
        <v>0</v>
      </c>
      <c r="P67" s="51">
        <f>Tablo1[[#This Row],[KALAN ESANS]]+Tablo1[[#This Row],[ALKOL Mik]]+Tablo1[[#This Row],[SU Mik]]</f>
        <v>0</v>
      </c>
    </row>
    <row r="68" spans="1:16" ht="15" customHeight="1" x14ac:dyDescent="0.2">
      <c r="A68" s="30" t="s">
        <v>210</v>
      </c>
      <c r="B68" s="36"/>
      <c r="C68" s="31">
        <v>0.14000000000000001</v>
      </c>
      <c r="D68" s="31">
        <v>0.02</v>
      </c>
      <c r="E68" s="32">
        <f t="shared" ref="E68:E131" si="1">1-D68-C68</f>
        <v>0.84</v>
      </c>
      <c r="F68" s="33" t="s">
        <v>28</v>
      </c>
      <c r="G68" s="34" t="s">
        <v>768</v>
      </c>
      <c r="H68" s="57" t="e">
        <f>((Tablo1[[#This Row],[Esans Fiyat]]/#REF!*Tablo1[[#This Row],[Esans]]*100)+(#REF!/1000*Tablo1[[#This Row],[Su]]*100)+(#REF!/1000*Tablo1[[#This Row],[Alkol]]*100))*(#REF!/100)+#REF!</f>
        <v>#REF!</v>
      </c>
      <c r="I68" s="33" t="s">
        <v>772</v>
      </c>
      <c r="J68" s="51" t="e">
        <f>#REF!*Tablo1[[#This Row],[Esans]]</f>
        <v>#REF!</v>
      </c>
      <c r="K68" s="51" t="e">
        <f>#REF!*Tablo1[[#This Row],[Su]]</f>
        <v>#REF!</v>
      </c>
      <c r="L68" s="51" t="e">
        <f>#REF!*Tablo1[[#This Row],[Alkol]]</f>
        <v>#REF!</v>
      </c>
      <c r="M68" s="44"/>
      <c r="N68" s="51">
        <f>(Tablo1[[#This Row],[KALAN ESANS]]/Tablo1[[#This Row],[Esans]]*0.01)*(Tablo1[[#This Row],[Alkol]]*100)</f>
        <v>0</v>
      </c>
      <c r="O68" s="51">
        <f>(Tablo1[[#This Row],[KALAN ESANS]]/Tablo1[[#This Row],[Esans]]*0.01)*(Tablo1[[#This Row],[Su]]*100)</f>
        <v>0</v>
      </c>
      <c r="P68" s="51">
        <f>Tablo1[[#This Row],[KALAN ESANS]]+Tablo1[[#This Row],[ALKOL Mik]]+Tablo1[[#This Row],[SU Mik]]</f>
        <v>0</v>
      </c>
    </row>
    <row r="69" spans="1:16" ht="15" customHeight="1" x14ac:dyDescent="0.2">
      <c r="A69" s="30" t="s">
        <v>209</v>
      </c>
      <c r="B69" s="36"/>
      <c r="C69" s="31">
        <v>0.18</v>
      </c>
      <c r="D69" s="31">
        <v>0.02</v>
      </c>
      <c r="E69" s="32">
        <f t="shared" si="1"/>
        <v>0.8</v>
      </c>
      <c r="F69" s="33" t="s">
        <v>25</v>
      </c>
      <c r="G69" s="34" t="s">
        <v>768</v>
      </c>
      <c r="H69" s="57" t="e">
        <f>((Tablo1[[#This Row],[Esans Fiyat]]/#REF!*Tablo1[[#This Row],[Esans]]*100)+(#REF!/1000*Tablo1[[#This Row],[Su]]*100)+(#REF!/1000*Tablo1[[#This Row],[Alkol]]*100))*(#REF!/100)+#REF!</f>
        <v>#REF!</v>
      </c>
      <c r="I69" s="33" t="s">
        <v>772</v>
      </c>
      <c r="J69" s="51" t="e">
        <f>#REF!*Tablo1[[#This Row],[Esans]]</f>
        <v>#REF!</v>
      </c>
      <c r="K69" s="51" t="e">
        <f>#REF!*Tablo1[[#This Row],[Su]]</f>
        <v>#REF!</v>
      </c>
      <c r="L69" s="51" t="e">
        <f>#REF!*Tablo1[[#This Row],[Alkol]]</f>
        <v>#REF!</v>
      </c>
      <c r="M69" s="44"/>
      <c r="N69" s="51">
        <f>(Tablo1[[#This Row],[KALAN ESANS]]/Tablo1[[#This Row],[Esans]]*0.01)*(Tablo1[[#This Row],[Alkol]]*100)</f>
        <v>0</v>
      </c>
      <c r="O69" s="51">
        <f>(Tablo1[[#This Row],[KALAN ESANS]]/Tablo1[[#This Row],[Esans]]*0.01)*(Tablo1[[#This Row],[Su]]*100)</f>
        <v>0</v>
      </c>
      <c r="P69" s="51">
        <f>Tablo1[[#This Row],[KALAN ESANS]]+Tablo1[[#This Row],[ALKOL Mik]]+Tablo1[[#This Row],[SU Mik]]</f>
        <v>0</v>
      </c>
    </row>
    <row r="70" spans="1:16" ht="15" customHeight="1" x14ac:dyDescent="0.2">
      <c r="A70" s="30" t="s">
        <v>208</v>
      </c>
      <c r="B70" s="36"/>
      <c r="C70" s="31">
        <v>0.15</v>
      </c>
      <c r="D70" s="31">
        <v>0</v>
      </c>
      <c r="E70" s="32">
        <f t="shared" si="1"/>
        <v>0.85</v>
      </c>
      <c r="F70" s="33" t="s">
        <v>28</v>
      </c>
      <c r="G70" s="34" t="s">
        <v>768</v>
      </c>
      <c r="H70" s="57" t="e">
        <f>((Tablo1[[#This Row],[Esans Fiyat]]/#REF!*Tablo1[[#This Row],[Esans]]*100)+(#REF!/1000*Tablo1[[#This Row],[Su]]*100)+(#REF!/1000*Tablo1[[#This Row],[Alkol]]*100))*(#REF!/100)+#REF!</f>
        <v>#REF!</v>
      </c>
      <c r="I70" s="33" t="s">
        <v>772</v>
      </c>
      <c r="J70" s="51" t="e">
        <f>#REF!*Tablo1[[#This Row],[Esans]]</f>
        <v>#REF!</v>
      </c>
      <c r="K70" s="51" t="e">
        <f>#REF!*Tablo1[[#This Row],[Su]]</f>
        <v>#REF!</v>
      </c>
      <c r="L70" s="51" t="e">
        <f>#REF!*Tablo1[[#This Row],[Alkol]]</f>
        <v>#REF!</v>
      </c>
      <c r="M70" s="44"/>
      <c r="N70" s="51">
        <f>(Tablo1[[#This Row],[KALAN ESANS]]/Tablo1[[#This Row],[Esans]]*0.01)*(Tablo1[[#This Row],[Alkol]]*100)</f>
        <v>0</v>
      </c>
      <c r="O70" s="51">
        <f>(Tablo1[[#This Row],[KALAN ESANS]]/Tablo1[[#This Row],[Esans]]*0.01)*(Tablo1[[#This Row],[Su]]*100)</f>
        <v>0</v>
      </c>
      <c r="P70" s="51">
        <f>Tablo1[[#This Row],[KALAN ESANS]]+Tablo1[[#This Row],[ALKOL Mik]]+Tablo1[[#This Row],[SU Mik]]</f>
        <v>0</v>
      </c>
    </row>
    <row r="71" spans="1:16" ht="15" customHeight="1" x14ac:dyDescent="0.2">
      <c r="A71" s="30" t="s">
        <v>207</v>
      </c>
      <c r="B71" s="36"/>
      <c r="C71" s="31">
        <v>0.2</v>
      </c>
      <c r="D71" s="31">
        <v>0.02</v>
      </c>
      <c r="E71" s="32">
        <f t="shared" si="1"/>
        <v>0.78</v>
      </c>
      <c r="F71" s="33" t="s">
        <v>25</v>
      </c>
      <c r="G71" s="34" t="s">
        <v>768</v>
      </c>
      <c r="H71" s="57" t="e">
        <f>((Tablo1[[#This Row],[Esans Fiyat]]/#REF!*Tablo1[[#This Row],[Esans]]*100)+(#REF!/1000*Tablo1[[#This Row],[Su]]*100)+(#REF!/1000*Tablo1[[#This Row],[Alkol]]*100))*(#REF!/100)+#REF!</f>
        <v>#REF!</v>
      </c>
      <c r="I71" s="33" t="s">
        <v>772</v>
      </c>
      <c r="J71" s="51" t="e">
        <f>#REF!*Tablo1[[#This Row],[Esans]]</f>
        <v>#REF!</v>
      </c>
      <c r="K71" s="51" t="e">
        <f>#REF!*Tablo1[[#This Row],[Su]]</f>
        <v>#REF!</v>
      </c>
      <c r="L71" s="51" t="e">
        <f>#REF!*Tablo1[[#This Row],[Alkol]]</f>
        <v>#REF!</v>
      </c>
      <c r="M71" s="44"/>
      <c r="N71" s="51">
        <f>(Tablo1[[#This Row],[KALAN ESANS]]/Tablo1[[#This Row],[Esans]]*0.01)*(Tablo1[[#This Row],[Alkol]]*100)</f>
        <v>0</v>
      </c>
      <c r="O71" s="51">
        <f>(Tablo1[[#This Row],[KALAN ESANS]]/Tablo1[[#This Row],[Esans]]*0.01)*(Tablo1[[#This Row],[Su]]*100)</f>
        <v>0</v>
      </c>
      <c r="P71" s="51">
        <f>Tablo1[[#This Row],[KALAN ESANS]]+Tablo1[[#This Row],[ALKOL Mik]]+Tablo1[[#This Row],[SU Mik]]</f>
        <v>0</v>
      </c>
    </row>
    <row r="72" spans="1:16" ht="15" customHeight="1" x14ac:dyDescent="0.2">
      <c r="A72" s="30" t="s">
        <v>206</v>
      </c>
      <c r="B72" s="36"/>
      <c r="C72" s="31">
        <v>0.15</v>
      </c>
      <c r="D72" s="31">
        <v>0.02</v>
      </c>
      <c r="E72" s="32">
        <f t="shared" si="1"/>
        <v>0.83</v>
      </c>
      <c r="F72" s="33" t="s">
        <v>28</v>
      </c>
      <c r="G72" s="34" t="s">
        <v>768</v>
      </c>
      <c r="H72" s="57" t="e">
        <f>((Tablo1[[#This Row],[Esans Fiyat]]/#REF!*Tablo1[[#This Row],[Esans]]*100)+(#REF!/1000*Tablo1[[#This Row],[Su]]*100)+(#REF!/1000*Tablo1[[#This Row],[Alkol]]*100))*(#REF!/100)+#REF!</f>
        <v>#REF!</v>
      </c>
      <c r="I72" s="33" t="s">
        <v>776</v>
      </c>
      <c r="J72" s="51" t="e">
        <f>#REF!*Tablo1[[#This Row],[Esans]]</f>
        <v>#REF!</v>
      </c>
      <c r="K72" s="51" t="e">
        <f>#REF!*Tablo1[[#This Row],[Su]]</f>
        <v>#REF!</v>
      </c>
      <c r="L72" s="51" t="e">
        <f>#REF!*Tablo1[[#This Row],[Alkol]]</f>
        <v>#REF!</v>
      </c>
      <c r="M72" s="44"/>
      <c r="N72" s="51">
        <f>(Tablo1[[#This Row],[KALAN ESANS]]/Tablo1[[#This Row],[Esans]]*0.01)*(Tablo1[[#This Row],[Alkol]]*100)</f>
        <v>0</v>
      </c>
      <c r="O72" s="51">
        <f>(Tablo1[[#This Row],[KALAN ESANS]]/Tablo1[[#This Row],[Esans]]*0.01)*(Tablo1[[#This Row],[Su]]*100)</f>
        <v>0</v>
      </c>
      <c r="P72" s="51">
        <f>Tablo1[[#This Row],[KALAN ESANS]]+Tablo1[[#This Row],[ALKOL Mik]]+Tablo1[[#This Row],[SU Mik]]</f>
        <v>0</v>
      </c>
    </row>
    <row r="73" spans="1:16" ht="15" customHeight="1" x14ac:dyDescent="0.2">
      <c r="A73" s="30" t="s">
        <v>205</v>
      </c>
      <c r="B73" s="36"/>
      <c r="C73" s="31">
        <v>0.15</v>
      </c>
      <c r="D73" s="31">
        <v>0</v>
      </c>
      <c r="E73" s="32">
        <f t="shared" si="1"/>
        <v>0.85</v>
      </c>
      <c r="F73" s="33" t="s">
        <v>28</v>
      </c>
      <c r="G73" s="34" t="s">
        <v>768</v>
      </c>
      <c r="H73" s="57" t="e">
        <f>((Tablo1[[#This Row],[Esans Fiyat]]/#REF!*Tablo1[[#This Row],[Esans]]*100)+(#REF!/1000*Tablo1[[#This Row],[Su]]*100)+(#REF!/1000*Tablo1[[#This Row],[Alkol]]*100))*(#REF!/100)+#REF!</f>
        <v>#REF!</v>
      </c>
      <c r="I73" s="33" t="s">
        <v>772</v>
      </c>
      <c r="J73" s="51" t="e">
        <f>#REF!*Tablo1[[#This Row],[Esans]]</f>
        <v>#REF!</v>
      </c>
      <c r="K73" s="51" t="e">
        <f>#REF!*Tablo1[[#This Row],[Su]]</f>
        <v>#REF!</v>
      </c>
      <c r="L73" s="51" t="e">
        <f>#REF!*Tablo1[[#This Row],[Alkol]]</f>
        <v>#REF!</v>
      </c>
      <c r="M73" s="44"/>
      <c r="N73" s="51">
        <f>(Tablo1[[#This Row],[KALAN ESANS]]/Tablo1[[#This Row],[Esans]]*0.01)*(Tablo1[[#This Row],[Alkol]]*100)</f>
        <v>0</v>
      </c>
      <c r="O73" s="51">
        <f>(Tablo1[[#This Row],[KALAN ESANS]]/Tablo1[[#This Row],[Esans]]*0.01)*(Tablo1[[#This Row],[Su]]*100)</f>
        <v>0</v>
      </c>
      <c r="P73" s="51">
        <f>Tablo1[[#This Row],[KALAN ESANS]]+Tablo1[[#This Row],[ALKOL Mik]]+Tablo1[[#This Row],[SU Mik]]</f>
        <v>0</v>
      </c>
    </row>
    <row r="74" spans="1:16" ht="15" customHeight="1" x14ac:dyDescent="0.2">
      <c r="A74" s="30" t="s">
        <v>204</v>
      </c>
      <c r="B74" s="36"/>
      <c r="C74" s="31">
        <v>0.18</v>
      </c>
      <c r="D74" s="31">
        <v>0.02</v>
      </c>
      <c r="E74" s="32">
        <f t="shared" si="1"/>
        <v>0.8</v>
      </c>
      <c r="F74" s="33" t="s">
        <v>25</v>
      </c>
      <c r="G74" s="34" t="s">
        <v>768</v>
      </c>
      <c r="H74" s="57" t="e">
        <f>((Tablo1[[#This Row],[Esans Fiyat]]/#REF!*Tablo1[[#This Row],[Esans]]*100)+(#REF!/1000*Tablo1[[#This Row],[Su]]*100)+(#REF!/1000*Tablo1[[#This Row],[Alkol]]*100))*(#REF!/100)+#REF!</f>
        <v>#REF!</v>
      </c>
      <c r="I74" s="33" t="s">
        <v>772</v>
      </c>
      <c r="J74" s="51" t="e">
        <f>#REF!*Tablo1[[#This Row],[Esans]]</f>
        <v>#REF!</v>
      </c>
      <c r="K74" s="51" t="e">
        <f>#REF!*Tablo1[[#This Row],[Su]]</f>
        <v>#REF!</v>
      </c>
      <c r="L74" s="51" t="e">
        <f>#REF!*Tablo1[[#This Row],[Alkol]]</f>
        <v>#REF!</v>
      </c>
      <c r="M74" s="44"/>
      <c r="N74" s="51">
        <f>(Tablo1[[#This Row],[KALAN ESANS]]/Tablo1[[#This Row],[Esans]]*0.01)*(Tablo1[[#This Row],[Alkol]]*100)</f>
        <v>0</v>
      </c>
      <c r="O74" s="51">
        <f>(Tablo1[[#This Row],[KALAN ESANS]]/Tablo1[[#This Row],[Esans]]*0.01)*(Tablo1[[#This Row],[Su]]*100)</f>
        <v>0</v>
      </c>
      <c r="P74" s="51">
        <f>Tablo1[[#This Row],[KALAN ESANS]]+Tablo1[[#This Row],[ALKOL Mik]]+Tablo1[[#This Row],[SU Mik]]</f>
        <v>0</v>
      </c>
    </row>
    <row r="75" spans="1:16" ht="15" customHeight="1" x14ac:dyDescent="0.2">
      <c r="A75" s="30" t="s">
        <v>9</v>
      </c>
      <c r="B75" s="36"/>
      <c r="C75" s="31">
        <v>0.25</v>
      </c>
      <c r="D75" s="31">
        <v>0.02</v>
      </c>
      <c r="E75" s="32">
        <f t="shared" si="1"/>
        <v>0.73</v>
      </c>
      <c r="F75" s="33" t="s">
        <v>25</v>
      </c>
      <c r="G75" s="34" t="s">
        <v>768</v>
      </c>
      <c r="H75" s="57" t="e">
        <f>((Tablo1[[#This Row],[Esans Fiyat]]/#REF!*Tablo1[[#This Row],[Esans]]*100)+(#REF!/1000*Tablo1[[#This Row],[Su]]*100)+(#REF!/1000*Tablo1[[#This Row],[Alkol]]*100))*(#REF!/100)+#REF!</f>
        <v>#REF!</v>
      </c>
      <c r="I75" s="33" t="s">
        <v>772</v>
      </c>
      <c r="J75" s="51" t="e">
        <f>#REF!*Tablo1[[#This Row],[Esans]]</f>
        <v>#REF!</v>
      </c>
      <c r="K75" s="51" t="e">
        <f>#REF!*Tablo1[[#This Row],[Su]]</f>
        <v>#REF!</v>
      </c>
      <c r="L75" s="51" t="e">
        <f>#REF!*Tablo1[[#This Row],[Alkol]]</f>
        <v>#REF!</v>
      </c>
      <c r="M75" s="44"/>
      <c r="N75" s="51">
        <f>(Tablo1[[#This Row],[KALAN ESANS]]/Tablo1[[#This Row],[Esans]]*0.01)*(Tablo1[[#This Row],[Alkol]]*100)</f>
        <v>0</v>
      </c>
      <c r="O75" s="51">
        <f>(Tablo1[[#This Row],[KALAN ESANS]]/Tablo1[[#This Row],[Esans]]*0.01)*(Tablo1[[#This Row],[Su]]*100)</f>
        <v>0</v>
      </c>
      <c r="P75" s="51">
        <f>Tablo1[[#This Row],[KALAN ESANS]]+Tablo1[[#This Row],[ALKOL Mik]]+Tablo1[[#This Row],[SU Mik]]</f>
        <v>0</v>
      </c>
    </row>
    <row r="76" spans="1:16" ht="15" customHeight="1" x14ac:dyDescent="0.2">
      <c r="A76" s="30" t="s">
        <v>202</v>
      </c>
      <c r="B76" s="36"/>
      <c r="C76" s="31">
        <v>0.2</v>
      </c>
      <c r="D76" s="31">
        <v>0.02</v>
      </c>
      <c r="E76" s="32">
        <f t="shared" si="1"/>
        <v>0.78</v>
      </c>
      <c r="F76" s="33" t="s">
        <v>25</v>
      </c>
      <c r="G76" s="34" t="s">
        <v>768</v>
      </c>
      <c r="H76" s="57" t="e">
        <f>((Tablo1[[#This Row],[Esans Fiyat]]/#REF!*Tablo1[[#This Row],[Esans]]*100)+(#REF!/1000*Tablo1[[#This Row],[Su]]*100)+(#REF!/1000*Tablo1[[#This Row],[Alkol]]*100))*(#REF!/100)+#REF!</f>
        <v>#REF!</v>
      </c>
      <c r="I76" s="33" t="s">
        <v>776</v>
      </c>
      <c r="J76" s="51" t="e">
        <f>#REF!*Tablo1[[#This Row],[Esans]]</f>
        <v>#REF!</v>
      </c>
      <c r="K76" s="51" t="e">
        <f>#REF!*Tablo1[[#This Row],[Su]]</f>
        <v>#REF!</v>
      </c>
      <c r="L76" s="51" t="e">
        <f>#REF!*Tablo1[[#This Row],[Alkol]]</f>
        <v>#REF!</v>
      </c>
      <c r="M76" s="44"/>
      <c r="N76" s="51">
        <f>(Tablo1[[#This Row],[KALAN ESANS]]/Tablo1[[#This Row],[Esans]]*0.01)*(Tablo1[[#This Row],[Alkol]]*100)</f>
        <v>0</v>
      </c>
      <c r="O76" s="51">
        <f>(Tablo1[[#This Row],[KALAN ESANS]]/Tablo1[[#This Row],[Esans]]*0.01)*(Tablo1[[#This Row],[Su]]*100)</f>
        <v>0</v>
      </c>
      <c r="P76" s="51">
        <f>Tablo1[[#This Row],[KALAN ESANS]]+Tablo1[[#This Row],[ALKOL Mik]]+Tablo1[[#This Row],[SU Mik]]</f>
        <v>0</v>
      </c>
    </row>
    <row r="77" spans="1:16" ht="15" customHeight="1" x14ac:dyDescent="0.2">
      <c r="A77" s="30" t="s">
        <v>42</v>
      </c>
      <c r="B77" s="36"/>
      <c r="C77" s="31">
        <v>0.15</v>
      </c>
      <c r="D77" s="31">
        <v>0</v>
      </c>
      <c r="E77" s="32">
        <f t="shared" si="1"/>
        <v>0.85</v>
      </c>
      <c r="F77" s="33" t="s">
        <v>28</v>
      </c>
      <c r="G77" s="34" t="s">
        <v>768</v>
      </c>
      <c r="H77" s="57" t="e">
        <f>((Tablo1[[#This Row],[Esans Fiyat]]/#REF!*Tablo1[[#This Row],[Esans]]*100)+(#REF!/1000*Tablo1[[#This Row],[Su]]*100)+(#REF!/1000*Tablo1[[#This Row],[Alkol]]*100))*(#REF!/100)+#REF!</f>
        <v>#REF!</v>
      </c>
      <c r="I77" s="33" t="s">
        <v>776</v>
      </c>
      <c r="J77" s="51" t="e">
        <f>#REF!*Tablo1[[#This Row],[Esans]]</f>
        <v>#REF!</v>
      </c>
      <c r="K77" s="51" t="e">
        <f>#REF!*Tablo1[[#This Row],[Su]]</f>
        <v>#REF!</v>
      </c>
      <c r="L77" s="51" t="e">
        <f>#REF!*Tablo1[[#This Row],[Alkol]]</f>
        <v>#REF!</v>
      </c>
      <c r="M77" s="44"/>
      <c r="N77" s="51">
        <f>(Tablo1[[#This Row],[KALAN ESANS]]/Tablo1[[#This Row],[Esans]]*0.01)*(Tablo1[[#This Row],[Alkol]]*100)</f>
        <v>0</v>
      </c>
      <c r="O77" s="51">
        <f>(Tablo1[[#This Row],[KALAN ESANS]]/Tablo1[[#This Row],[Esans]]*0.01)*(Tablo1[[#This Row],[Su]]*100)</f>
        <v>0</v>
      </c>
      <c r="P77" s="51">
        <f>Tablo1[[#This Row],[KALAN ESANS]]+Tablo1[[#This Row],[ALKOL Mik]]+Tablo1[[#This Row],[SU Mik]]</f>
        <v>0</v>
      </c>
    </row>
    <row r="78" spans="1:16" ht="15" customHeight="1" x14ac:dyDescent="0.2">
      <c r="A78" s="30" t="s">
        <v>18</v>
      </c>
      <c r="B78" s="36"/>
      <c r="C78" s="31">
        <v>0.2</v>
      </c>
      <c r="D78" s="31">
        <v>0.02</v>
      </c>
      <c r="E78" s="32">
        <f t="shared" si="1"/>
        <v>0.78</v>
      </c>
      <c r="F78" s="33" t="s">
        <v>25</v>
      </c>
      <c r="G78" s="34" t="s">
        <v>768</v>
      </c>
      <c r="H78" s="57" t="e">
        <f>((Tablo1[[#This Row],[Esans Fiyat]]/#REF!*Tablo1[[#This Row],[Esans]]*100)+(#REF!/1000*Tablo1[[#This Row],[Su]]*100)+(#REF!/1000*Tablo1[[#This Row],[Alkol]]*100))*(#REF!/100)+#REF!</f>
        <v>#REF!</v>
      </c>
      <c r="I78" s="33" t="s">
        <v>772</v>
      </c>
      <c r="J78" s="51" t="e">
        <f>#REF!*Tablo1[[#This Row],[Esans]]</f>
        <v>#REF!</v>
      </c>
      <c r="K78" s="51" t="e">
        <f>#REF!*Tablo1[[#This Row],[Su]]</f>
        <v>#REF!</v>
      </c>
      <c r="L78" s="51" t="e">
        <f>#REF!*Tablo1[[#This Row],[Alkol]]</f>
        <v>#REF!</v>
      </c>
      <c r="M78" s="44"/>
      <c r="N78" s="51">
        <f>(Tablo1[[#This Row],[KALAN ESANS]]/Tablo1[[#This Row],[Esans]]*0.01)*(Tablo1[[#This Row],[Alkol]]*100)</f>
        <v>0</v>
      </c>
      <c r="O78" s="51">
        <f>(Tablo1[[#This Row],[KALAN ESANS]]/Tablo1[[#This Row],[Esans]]*0.01)*(Tablo1[[#This Row],[Su]]*100)</f>
        <v>0</v>
      </c>
      <c r="P78" s="51">
        <f>Tablo1[[#This Row],[KALAN ESANS]]+Tablo1[[#This Row],[ALKOL Mik]]+Tablo1[[#This Row],[SU Mik]]</f>
        <v>0</v>
      </c>
    </row>
    <row r="79" spans="1:16" ht="15" customHeight="1" x14ac:dyDescent="0.2">
      <c r="A79" s="30" t="s">
        <v>201</v>
      </c>
      <c r="B79" s="36"/>
      <c r="C79" s="31">
        <v>0.22</v>
      </c>
      <c r="D79" s="31">
        <v>0.02</v>
      </c>
      <c r="E79" s="32">
        <f t="shared" si="1"/>
        <v>0.76</v>
      </c>
      <c r="F79" s="33" t="s">
        <v>25</v>
      </c>
      <c r="G79" s="34" t="s">
        <v>768</v>
      </c>
      <c r="H79" s="57" t="e">
        <f>((Tablo1[[#This Row],[Esans Fiyat]]/#REF!*Tablo1[[#This Row],[Esans]]*100)+(#REF!/1000*Tablo1[[#This Row],[Su]]*100)+(#REF!/1000*Tablo1[[#This Row],[Alkol]]*100))*(#REF!/100)+#REF!</f>
        <v>#REF!</v>
      </c>
      <c r="I79" s="33" t="s">
        <v>772</v>
      </c>
      <c r="J79" s="51" t="e">
        <f>#REF!*Tablo1[[#This Row],[Esans]]</f>
        <v>#REF!</v>
      </c>
      <c r="K79" s="51" t="e">
        <f>#REF!*Tablo1[[#This Row],[Su]]</f>
        <v>#REF!</v>
      </c>
      <c r="L79" s="51" t="e">
        <f>#REF!*Tablo1[[#This Row],[Alkol]]</f>
        <v>#REF!</v>
      </c>
      <c r="M79" s="44"/>
      <c r="N79" s="51">
        <f>(Tablo1[[#This Row],[KALAN ESANS]]/Tablo1[[#This Row],[Esans]]*0.01)*(Tablo1[[#This Row],[Alkol]]*100)</f>
        <v>0</v>
      </c>
      <c r="O79" s="51">
        <f>(Tablo1[[#This Row],[KALAN ESANS]]/Tablo1[[#This Row],[Esans]]*0.01)*(Tablo1[[#This Row],[Su]]*100)</f>
        <v>0</v>
      </c>
      <c r="P79" s="51">
        <f>Tablo1[[#This Row],[KALAN ESANS]]+Tablo1[[#This Row],[ALKOL Mik]]+Tablo1[[#This Row],[SU Mik]]</f>
        <v>0</v>
      </c>
    </row>
    <row r="80" spans="1:16" ht="15" customHeight="1" x14ac:dyDescent="0.2">
      <c r="A80" s="30" t="s">
        <v>200</v>
      </c>
      <c r="B80" s="36"/>
      <c r="C80" s="31">
        <v>0.18</v>
      </c>
      <c r="D80" s="31">
        <v>0.02</v>
      </c>
      <c r="E80" s="32">
        <f t="shared" si="1"/>
        <v>0.8</v>
      </c>
      <c r="F80" s="33" t="s">
        <v>25</v>
      </c>
      <c r="G80" s="34" t="s">
        <v>768</v>
      </c>
      <c r="H80" s="57" t="e">
        <f>((Tablo1[[#This Row],[Esans Fiyat]]/#REF!*Tablo1[[#This Row],[Esans]]*100)+(#REF!/1000*Tablo1[[#This Row],[Su]]*100)+(#REF!/1000*Tablo1[[#This Row],[Alkol]]*100))*(#REF!/100)+#REF!</f>
        <v>#REF!</v>
      </c>
      <c r="I80" s="33" t="s">
        <v>772</v>
      </c>
      <c r="J80" s="51" t="e">
        <f>#REF!*Tablo1[[#This Row],[Esans]]</f>
        <v>#REF!</v>
      </c>
      <c r="K80" s="51" t="e">
        <f>#REF!*Tablo1[[#This Row],[Su]]</f>
        <v>#REF!</v>
      </c>
      <c r="L80" s="51" t="e">
        <f>#REF!*Tablo1[[#This Row],[Alkol]]</f>
        <v>#REF!</v>
      </c>
      <c r="M80" s="44"/>
      <c r="N80" s="51">
        <f>(Tablo1[[#This Row],[KALAN ESANS]]/Tablo1[[#This Row],[Esans]]*0.01)*(Tablo1[[#This Row],[Alkol]]*100)</f>
        <v>0</v>
      </c>
      <c r="O80" s="51">
        <f>(Tablo1[[#This Row],[KALAN ESANS]]/Tablo1[[#This Row],[Esans]]*0.01)*(Tablo1[[#This Row],[Su]]*100)</f>
        <v>0</v>
      </c>
      <c r="P80" s="51">
        <f>Tablo1[[#This Row],[KALAN ESANS]]+Tablo1[[#This Row],[ALKOL Mik]]+Tablo1[[#This Row],[SU Mik]]</f>
        <v>0</v>
      </c>
    </row>
    <row r="81" spans="1:16" ht="15" customHeight="1" x14ac:dyDescent="0.2">
      <c r="A81" s="30" t="s">
        <v>197</v>
      </c>
      <c r="B81" s="36"/>
      <c r="C81" s="31">
        <v>0.2</v>
      </c>
      <c r="D81" s="31">
        <v>0.02</v>
      </c>
      <c r="E81" s="32">
        <f t="shared" si="1"/>
        <v>0.78</v>
      </c>
      <c r="F81" s="33" t="s">
        <v>25</v>
      </c>
      <c r="G81" s="34" t="s">
        <v>768</v>
      </c>
      <c r="H81" s="57" t="e">
        <f>((Tablo1[[#This Row],[Esans Fiyat]]/#REF!*Tablo1[[#This Row],[Esans]]*100)+(#REF!/1000*Tablo1[[#This Row],[Su]]*100)+(#REF!/1000*Tablo1[[#This Row],[Alkol]]*100))*(#REF!/100)+#REF!</f>
        <v>#REF!</v>
      </c>
      <c r="I81" s="33" t="s">
        <v>772</v>
      </c>
      <c r="J81" s="51" t="e">
        <f>#REF!*Tablo1[[#This Row],[Esans]]</f>
        <v>#REF!</v>
      </c>
      <c r="K81" s="51" t="e">
        <f>#REF!*Tablo1[[#This Row],[Su]]</f>
        <v>#REF!</v>
      </c>
      <c r="L81" s="51" t="e">
        <f>#REF!*Tablo1[[#This Row],[Alkol]]</f>
        <v>#REF!</v>
      </c>
      <c r="M81" s="44"/>
      <c r="N81" s="51">
        <f>(Tablo1[[#This Row],[KALAN ESANS]]/Tablo1[[#This Row],[Esans]]*0.01)*(Tablo1[[#This Row],[Alkol]]*100)</f>
        <v>0</v>
      </c>
      <c r="O81" s="51">
        <f>(Tablo1[[#This Row],[KALAN ESANS]]/Tablo1[[#This Row],[Esans]]*0.01)*(Tablo1[[#This Row],[Su]]*100)</f>
        <v>0</v>
      </c>
      <c r="P81" s="51">
        <f>Tablo1[[#This Row],[KALAN ESANS]]+Tablo1[[#This Row],[ALKOL Mik]]+Tablo1[[#This Row],[SU Mik]]</f>
        <v>0</v>
      </c>
    </row>
    <row r="82" spans="1:16" ht="15" customHeight="1" x14ac:dyDescent="0.2">
      <c r="A82" s="30" t="s">
        <v>196</v>
      </c>
      <c r="B82" s="36"/>
      <c r="C82" s="31">
        <v>0.2</v>
      </c>
      <c r="D82" s="31">
        <v>0.02</v>
      </c>
      <c r="E82" s="32">
        <f t="shared" si="1"/>
        <v>0.78</v>
      </c>
      <c r="F82" s="33" t="s">
        <v>25</v>
      </c>
      <c r="G82" s="34" t="s">
        <v>768</v>
      </c>
      <c r="H82" s="57" t="e">
        <f>((Tablo1[[#This Row],[Esans Fiyat]]/#REF!*Tablo1[[#This Row],[Esans]]*100)+(#REF!/1000*Tablo1[[#This Row],[Su]]*100)+(#REF!/1000*Tablo1[[#This Row],[Alkol]]*100))*(#REF!/100)+#REF!</f>
        <v>#REF!</v>
      </c>
      <c r="I82" s="33" t="s">
        <v>776</v>
      </c>
      <c r="J82" s="51" t="e">
        <f>#REF!*Tablo1[[#This Row],[Esans]]</f>
        <v>#REF!</v>
      </c>
      <c r="K82" s="51" t="e">
        <f>#REF!*Tablo1[[#This Row],[Su]]</f>
        <v>#REF!</v>
      </c>
      <c r="L82" s="51" t="e">
        <f>#REF!*Tablo1[[#This Row],[Alkol]]</f>
        <v>#REF!</v>
      </c>
      <c r="M82" s="44"/>
      <c r="N82" s="51">
        <f>(Tablo1[[#This Row],[KALAN ESANS]]/Tablo1[[#This Row],[Esans]]*0.01)*(Tablo1[[#This Row],[Alkol]]*100)</f>
        <v>0</v>
      </c>
      <c r="O82" s="51">
        <f>(Tablo1[[#This Row],[KALAN ESANS]]/Tablo1[[#This Row],[Esans]]*0.01)*(Tablo1[[#This Row],[Su]]*100)</f>
        <v>0</v>
      </c>
      <c r="P82" s="51">
        <f>Tablo1[[#This Row],[KALAN ESANS]]+Tablo1[[#This Row],[ALKOL Mik]]+Tablo1[[#This Row],[SU Mik]]</f>
        <v>0</v>
      </c>
    </row>
    <row r="83" spans="1:16" ht="15" customHeight="1" x14ac:dyDescent="0.2">
      <c r="A83" s="30" t="s">
        <v>199</v>
      </c>
      <c r="B83" s="36"/>
      <c r="C83" s="31">
        <v>0.18</v>
      </c>
      <c r="D83" s="31">
        <v>0.02</v>
      </c>
      <c r="E83" s="32">
        <f t="shared" si="1"/>
        <v>0.8</v>
      </c>
      <c r="F83" s="33" t="s">
        <v>25</v>
      </c>
      <c r="G83" s="34" t="s">
        <v>768</v>
      </c>
      <c r="H83" s="57" t="e">
        <f>((Tablo1[[#This Row],[Esans Fiyat]]/#REF!*Tablo1[[#This Row],[Esans]]*100)+(#REF!/1000*Tablo1[[#This Row],[Su]]*100)+(#REF!/1000*Tablo1[[#This Row],[Alkol]]*100))*(#REF!/100)+#REF!</f>
        <v>#REF!</v>
      </c>
      <c r="I83" s="33" t="s">
        <v>772</v>
      </c>
      <c r="J83" s="51" t="e">
        <f>#REF!*Tablo1[[#This Row],[Esans]]</f>
        <v>#REF!</v>
      </c>
      <c r="K83" s="51" t="e">
        <f>#REF!*Tablo1[[#This Row],[Su]]</f>
        <v>#REF!</v>
      </c>
      <c r="L83" s="51" t="e">
        <f>#REF!*Tablo1[[#This Row],[Alkol]]</f>
        <v>#REF!</v>
      </c>
      <c r="M83" s="44"/>
      <c r="N83" s="51">
        <f>(Tablo1[[#This Row],[KALAN ESANS]]/Tablo1[[#This Row],[Esans]]*0.01)*(Tablo1[[#This Row],[Alkol]]*100)</f>
        <v>0</v>
      </c>
      <c r="O83" s="51">
        <f>(Tablo1[[#This Row],[KALAN ESANS]]/Tablo1[[#This Row],[Esans]]*0.01)*(Tablo1[[#This Row],[Su]]*100)</f>
        <v>0</v>
      </c>
      <c r="P83" s="51">
        <f>Tablo1[[#This Row],[KALAN ESANS]]+Tablo1[[#This Row],[ALKOL Mik]]+Tablo1[[#This Row],[SU Mik]]</f>
        <v>0</v>
      </c>
    </row>
    <row r="84" spans="1:16" ht="15" customHeight="1" x14ac:dyDescent="0.2">
      <c r="A84" s="30" t="s">
        <v>198</v>
      </c>
      <c r="B84" s="36"/>
      <c r="C84" s="31">
        <v>0.2</v>
      </c>
      <c r="D84" s="31">
        <v>0.02</v>
      </c>
      <c r="E84" s="32">
        <f t="shared" si="1"/>
        <v>0.78</v>
      </c>
      <c r="F84" s="33" t="s">
        <v>25</v>
      </c>
      <c r="G84" s="34" t="s">
        <v>768</v>
      </c>
      <c r="H84" s="57" t="e">
        <f>((Tablo1[[#This Row],[Esans Fiyat]]/#REF!*Tablo1[[#This Row],[Esans]]*100)+(#REF!/1000*Tablo1[[#This Row],[Su]]*100)+(#REF!/1000*Tablo1[[#This Row],[Alkol]]*100))*(#REF!/100)+#REF!</f>
        <v>#REF!</v>
      </c>
      <c r="I84" s="33" t="s">
        <v>772</v>
      </c>
      <c r="J84" s="51" t="e">
        <f>#REF!*Tablo1[[#This Row],[Esans]]</f>
        <v>#REF!</v>
      </c>
      <c r="K84" s="51" t="e">
        <f>#REF!*Tablo1[[#This Row],[Su]]</f>
        <v>#REF!</v>
      </c>
      <c r="L84" s="51" t="e">
        <f>#REF!*Tablo1[[#This Row],[Alkol]]</f>
        <v>#REF!</v>
      </c>
      <c r="M84" s="44"/>
      <c r="N84" s="51">
        <f>(Tablo1[[#This Row],[KALAN ESANS]]/Tablo1[[#This Row],[Esans]]*0.01)*(Tablo1[[#This Row],[Alkol]]*100)</f>
        <v>0</v>
      </c>
      <c r="O84" s="51">
        <f>(Tablo1[[#This Row],[KALAN ESANS]]/Tablo1[[#This Row],[Esans]]*0.01)*(Tablo1[[#This Row],[Su]]*100)</f>
        <v>0</v>
      </c>
      <c r="P84" s="51">
        <f>Tablo1[[#This Row],[KALAN ESANS]]+Tablo1[[#This Row],[ALKOL Mik]]+Tablo1[[#This Row],[SU Mik]]</f>
        <v>0</v>
      </c>
    </row>
    <row r="85" spans="1:16" ht="15" customHeight="1" x14ac:dyDescent="0.2">
      <c r="A85" s="30" t="s">
        <v>190</v>
      </c>
      <c r="B85" s="36"/>
      <c r="C85" s="31">
        <v>0.15</v>
      </c>
      <c r="D85" s="31">
        <v>0.02</v>
      </c>
      <c r="E85" s="32">
        <f t="shared" si="1"/>
        <v>0.83</v>
      </c>
      <c r="F85" s="33" t="s">
        <v>28</v>
      </c>
      <c r="G85" s="34" t="s">
        <v>768</v>
      </c>
      <c r="H85" s="57" t="e">
        <f>((Tablo1[[#This Row],[Esans Fiyat]]/#REF!*Tablo1[[#This Row],[Esans]]*100)+(#REF!/1000*Tablo1[[#This Row],[Su]]*100)+(#REF!/1000*Tablo1[[#This Row],[Alkol]]*100))*(#REF!/100)+#REF!</f>
        <v>#REF!</v>
      </c>
      <c r="I85" s="33" t="s">
        <v>776</v>
      </c>
      <c r="J85" s="51" t="e">
        <f>#REF!*Tablo1[[#This Row],[Esans]]</f>
        <v>#REF!</v>
      </c>
      <c r="K85" s="51" t="e">
        <f>#REF!*Tablo1[[#This Row],[Su]]</f>
        <v>#REF!</v>
      </c>
      <c r="L85" s="51" t="e">
        <f>#REF!*Tablo1[[#This Row],[Alkol]]</f>
        <v>#REF!</v>
      </c>
      <c r="M85" s="44"/>
      <c r="N85" s="51">
        <f>(Tablo1[[#This Row],[KALAN ESANS]]/Tablo1[[#This Row],[Esans]]*0.01)*(Tablo1[[#This Row],[Alkol]]*100)</f>
        <v>0</v>
      </c>
      <c r="O85" s="51">
        <f>(Tablo1[[#This Row],[KALAN ESANS]]/Tablo1[[#This Row],[Esans]]*0.01)*(Tablo1[[#This Row],[Su]]*100)</f>
        <v>0</v>
      </c>
      <c r="P85" s="51">
        <f>Tablo1[[#This Row],[KALAN ESANS]]+Tablo1[[#This Row],[ALKOL Mik]]+Tablo1[[#This Row],[SU Mik]]</f>
        <v>0</v>
      </c>
    </row>
    <row r="86" spans="1:16" ht="15" customHeight="1" x14ac:dyDescent="0.2">
      <c r="A86" s="30" t="s">
        <v>191</v>
      </c>
      <c r="B86" s="36"/>
      <c r="C86" s="31">
        <v>0.15</v>
      </c>
      <c r="D86" s="31">
        <v>0.02</v>
      </c>
      <c r="E86" s="32">
        <f t="shared" si="1"/>
        <v>0.83</v>
      </c>
      <c r="F86" s="33" t="s">
        <v>28</v>
      </c>
      <c r="G86" s="34" t="s">
        <v>768</v>
      </c>
      <c r="H86" s="57" t="e">
        <f>((Tablo1[[#This Row],[Esans Fiyat]]/#REF!*Tablo1[[#This Row],[Esans]]*100)+(#REF!/1000*Tablo1[[#This Row],[Su]]*100)+(#REF!/1000*Tablo1[[#This Row],[Alkol]]*100))*(#REF!/100)+#REF!</f>
        <v>#REF!</v>
      </c>
      <c r="I86" s="33" t="s">
        <v>776</v>
      </c>
      <c r="J86" s="51" t="e">
        <f>#REF!*Tablo1[[#This Row],[Esans]]</f>
        <v>#REF!</v>
      </c>
      <c r="K86" s="51" t="e">
        <f>#REF!*Tablo1[[#This Row],[Su]]</f>
        <v>#REF!</v>
      </c>
      <c r="L86" s="51" t="e">
        <f>#REF!*Tablo1[[#This Row],[Alkol]]</f>
        <v>#REF!</v>
      </c>
      <c r="M86" s="44"/>
      <c r="N86" s="51">
        <f>(Tablo1[[#This Row],[KALAN ESANS]]/Tablo1[[#This Row],[Esans]]*0.01)*(Tablo1[[#This Row],[Alkol]]*100)</f>
        <v>0</v>
      </c>
      <c r="O86" s="51">
        <f>(Tablo1[[#This Row],[KALAN ESANS]]/Tablo1[[#This Row],[Esans]]*0.01)*(Tablo1[[#This Row],[Su]]*100)</f>
        <v>0</v>
      </c>
      <c r="P86" s="51">
        <f>Tablo1[[#This Row],[KALAN ESANS]]+Tablo1[[#This Row],[ALKOL Mik]]+Tablo1[[#This Row],[SU Mik]]</f>
        <v>0</v>
      </c>
    </row>
    <row r="87" spans="1:16" ht="15" customHeight="1" x14ac:dyDescent="0.2">
      <c r="A87" s="30" t="s">
        <v>193</v>
      </c>
      <c r="B87" s="36"/>
      <c r="C87" s="31">
        <v>0.15</v>
      </c>
      <c r="D87" s="31">
        <v>0.02</v>
      </c>
      <c r="E87" s="32">
        <f t="shared" si="1"/>
        <v>0.83</v>
      </c>
      <c r="F87" s="33" t="s">
        <v>28</v>
      </c>
      <c r="G87" s="34" t="s">
        <v>768</v>
      </c>
      <c r="H87" s="57" t="e">
        <f>((Tablo1[[#This Row],[Esans Fiyat]]/#REF!*Tablo1[[#This Row],[Esans]]*100)+(#REF!/1000*Tablo1[[#This Row],[Su]]*100)+(#REF!/1000*Tablo1[[#This Row],[Alkol]]*100))*(#REF!/100)+#REF!</f>
        <v>#REF!</v>
      </c>
      <c r="I87" s="33" t="s">
        <v>776</v>
      </c>
      <c r="J87" s="51" t="e">
        <f>#REF!*Tablo1[[#This Row],[Esans]]</f>
        <v>#REF!</v>
      </c>
      <c r="K87" s="51" t="e">
        <f>#REF!*Tablo1[[#This Row],[Su]]</f>
        <v>#REF!</v>
      </c>
      <c r="L87" s="51" t="e">
        <f>#REF!*Tablo1[[#This Row],[Alkol]]</f>
        <v>#REF!</v>
      </c>
      <c r="M87" s="44"/>
      <c r="N87" s="51">
        <f>(Tablo1[[#This Row],[KALAN ESANS]]/Tablo1[[#This Row],[Esans]]*0.01)*(Tablo1[[#This Row],[Alkol]]*100)</f>
        <v>0</v>
      </c>
      <c r="O87" s="51">
        <f>(Tablo1[[#This Row],[KALAN ESANS]]/Tablo1[[#This Row],[Esans]]*0.01)*(Tablo1[[#This Row],[Su]]*100)</f>
        <v>0</v>
      </c>
      <c r="P87" s="51">
        <f>Tablo1[[#This Row],[KALAN ESANS]]+Tablo1[[#This Row],[ALKOL Mik]]+Tablo1[[#This Row],[SU Mik]]</f>
        <v>0</v>
      </c>
    </row>
    <row r="88" spans="1:16" ht="15" customHeight="1" x14ac:dyDescent="0.2">
      <c r="A88" s="30" t="s">
        <v>195</v>
      </c>
      <c r="B88" s="36"/>
      <c r="C88" s="31">
        <v>0.1</v>
      </c>
      <c r="D88" s="31">
        <v>0.02</v>
      </c>
      <c r="E88" s="32">
        <f t="shared" si="1"/>
        <v>0.88</v>
      </c>
      <c r="F88" s="33" t="s">
        <v>28</v>
      </c>
      <c r="G88" s="34" t="s">
        <v>768</v>
      </c>
      <c r="H88" s="57" t="e">
        <f>((Tablo1[[#This Row],[Esans Fiyat]]/#REF!*Tablo1[[#This Row],[Esans]]*100)+(#REF!/1000*Tablo1[[#This Row],[Su]]*100)+(#REF!/1000*Tablo1[[#This Row],[Alkol]]*100))*(#REF!/100)+#REF!</f>
        <v>#REF!</v>
      </c>
      <c r="I88" s="33" t="s">
        <v>772</v>
      </c>
      <c r="J88" s="51" t="e">
        <f>#REF!*Tablo1[[#This Row],[Esans]]</f>
        <v>#REF!</v>
      </c>
      <c r="K88" s="51" t="e">
        <f>#REF!*Tablo1[[#This Row],[Su]]</f>
        <v>#REF!</v>
      </c>
      <c r="L88" s="51" t="e">
        <f>#REF!*Tablo1[[#This Row],[Alkol]]</f>
        <v>#REF!</v>
      </c>
      <c r="M88" s="44"/>
      <c r="N88" s="51">
        <f>(Tablo1[[#This Row],[KALAN ESANS]]/Tablo1[[#This Row],[Esans]]*0.01)*(Tablo1[[#This Row],[Alkol]]*100)</f>
        <v>0</v>
      </c>
      <c r="O88" s="51">
        <f>(Tablo1[[#This Row],[KALAN ESANS]]/Tablo1[[#This Row],[Esans]]*0.01)*(Tablo1[[#This Row],[Su]]*100)</f>
        <v>0</v>
      </c>
      <c r="P88" s="51">
        <f>Tablo1[[#This Row],[KALAN ESANS]]+Tablo1[[#This Row],[ALKOL Mik]]+Tablo1[[#This Row],[SU Mik]]</f>
        <v>0</v>
      </c>
    </row>
    <row r="89" spans="1:16" ht="15" customHeight="1" x14ac:dyDescent="0.2">
      <c r="A89" s="30" t="s">
        <v>192</v>
      </c>
      <c r="B89" s="36"/>
      <c r="C89" s="31">
        <v>0.15</v>
      </c>
      <c r="D89" s="31">
        <v>0.02</v>
      </c>
      <c r="E89" s="32">
        <f t="shared" si="1"/>
        <v>0.83</v>
      </c>
      <c r="F89" s="33" t="s">
        <v>28</v>
      </c>
      <c r="G89" s="34" t="s">
        <v>768</v>
      </c>
      <c r="H89" s="57" t="e">
        <f>((Tablo1[[#This Row],[Esans Fiyat]]/#REF!*Tablo1[[#This Row],[Esans]]*100)+(#REF!/1000*Tablo1[[#This Row],[Su]]*100)+(#REF!/1000*Tablo1[[#This Row],[Alkol]]*100))*(#REF!/100)+#REF!</f>
        <v>#REF!</v>
      </c>
      <c r="I89" s="33" t="s">
        <v>776</v>
      </c>
      <c r="J89" s="51" t="e">
        <f>#REF!*Tablo1[[#This Row],[Esans]]</f>
        <v>#REF!</v>
      </c>
      <c r="K89" s="51" t="e">
        <f>#REF!*Tablo1[[#This Row],[Su]]</f>
        <v>#REF!</v>
      </c>
      <c r="L89" s="51" t="e">
        <f>#REF!*Tablo1[[#This Row],[Alkol]]</f>
        <v>#REF!</v>
      </c>
      <c r="M89" s="44"/>
      <c r="N89" s="51">
        <f>(Tablo1[[#This Row],[KALAN ESANS]]/Tablo1[[#This Row],[Esans]]*0.01)*(Tablo1[[#This Row],[Alkol]]*100)</f>
        <v>0</v>
      </c>
      <c r="O89" s="51">
        <f>(Tablo1[[#This Row],[KALAN ESANS]]/Tablo1[[#This Row],[Esans]]*0.01)*(Tablo1[[#This Row],[Su]]*100)</f>
        <v>0</v>
      </c>
      <c r="P89" s="51">
        <f>Tablo1[[#This Row],[KALAN ESANS]]+Tablo1[[#This Row],[ALKOL Mik]]+Tablo1[[#This Row],[SU Mik]]</f>
        <v>0</v>
      </c>
    </row>
    <row r="90" spans="1:16" ht="15" customHeight="1" x14ac:dyDescent="0.2">
      <c r="A90" s="30" t="s">
        <v>194</v>
      </c>
      <c r="B90" s="36"/>
      <c r="C90" s="31">
        <v>0.15</v>
      </c>
      <c r="D90" s="31">
        <v>0.02</v>
      </c>
      <c r="E90" s="32">
        <f t="shared" si="1"/>
        <v>0.83</v>
      </c>
      <c r="F90" s="33" t="s">
        <v>28</v>
      </c>
      <c r="G90" s="34" t="s">
        <v>768</v>
      </c>
      <c r="H90" s="57" t="e">
        <f>((Tablo1[[#This Row],[Esans Fiyat]]/#REF!*Tablo1[[#This Row],[Esans]]*100)+(#REF!/1000*Tablo1[[#This Row],[Su]]*100)+(#REF!/1000*Tablo1[[#This Row],[Alkol]]*100))*(#REF!/100)+#REF!</f>
        <v>#REF!</v>
      </c>
      <c r="I90" s="33" t="s">
        <v>776</v>
      </c>
      <c r="J90" s="51" t="e">
        <f>#REF!*Tablo1[[#This Row],[Esans]]</f>
        <v>#REF!</v>
      </c>
      <c r="K90" s="51" t="e">
        <f>#REF!*Tablo1[[#This Row],[Su]]</f>
        <v>#REF!</v>
      </c>
      <c r="L90" s="51" t="e">
        <f>#REF!*Tablo1[[#This Row],[Alkol]]</f>
        <v>#REF!</v>
      </c>
      <c r="M90" s="44"/>
      <c r="N90" s="51">
        <f>(Tablo1[[#This Row],[KALAN ESANS]]/Tablo1[[#This Row],[Esans]]*0.01)*(Tablo1[[#This Row],[Alkol]]*100)</f>
        <v>0</v>
      </c>
      <c r="O90" s="51">
        <f>(Tablo1[[#This Row],[KALAN ESANS]]/Tablo1[[#This Row],[Esans]]*0.01)*(Tablo1[[#This Row],[Su]]*100)</f>
        <v>0</v>
      </c>
      <c r="P90" s="51">
        <f>Tablo1[[#This Row],[KALAN ESANS]]+Tablo1[[#This Row],[ALKOL Mik]]+Tablo1[[#This Row],[SU Mik]]</f>
        <v>0</v>
      </c>
    </row>
    <row r="91" spans="1:16" ht="15" customHeight="1" x14ac:dyDescent="0.2">
      <c r="A91" s="30" t="s">
        <v>189</v>
      </c>
      <c r="B91" s="36"/>
      <c r="C91" s="31">
        <v>0.15</v>
      </c>
      <c r="D91" s="31">
        <v>0.02</v>
      </c>
      <c r="E91" s="32">
        <f t="shared" si="1"/>
        <v>0.83</v>
      </c>
      <c r="F91" s="33" t="s">
        <v>28</v>
      </c>
      <c r="G91" s="34" t="s">
        <v>768</v>
      </c>
      <c r="H91" s="57" t="e">
        <f>((Tablo1[[#This Row],[Esans Fiyat]]/#REF!*Tablo1[[#This Row],[Esans]]*100)+(#REF!/1000*Tablo1[[#This Row],[Su]]*100)+(#REF!/1000*Tablo1[[#This Row],[Alkol]]*100))*(#REF!/100)+#REF!</f>
        <v>#REF!</v>
      </c>
      <c r="I91" s="33" t="s">
        <v>776</v>
      </c>
      <c r="J91" s="51" t="e">
        <f>#REF!*Tablo1[[#This Row],[Esans]]</f>
        <v>#REF!</v>
      </c>
      <c r="K91" s="51" t="e">
        <f>#REF!*Tablo1[[#This Row],[Su]]</f>
        <v>#REF!</v>
      </c>
      <c r="L91" s="51" t="e">
        <f>#REF!*Tablo1[[#This Row],[Alkol]]</f>
        <v>#REF!</v>
      </c>
      <c r="M91" s="44"/>
      <c r="N91" s="51">
        <f>(Tablo1[[#This Row],[KALAN ESANS]]/Tablo1[[#This Row],[Esans]]*0.01)*(Tablo1[[#This Row],[Alkol]]*100)</f>
        <v>0</v>
      </c>
      <c r="O91" s="51">
        <f>(Tablo1[[#This Row],[KALAN ESANS]]/Tablo1[[#This Row],[Esans]]*0.01)*(Tablo1[[#This Row],[Su]]*100)</f>
        <v>0</v>
      </c>
      <c r="P91" s="51">
        <f>Tablo1[[#This Row],[KALAN ESANS]]+Tablo1[[#This Row],[ALKOL Mik]]+Tablo1[[#This Row],[SU Mik]]</f>
        <v>0</v>
      </c>
    </row>
    <row r="92" spans="1:16" ht="15" customHeight="1" x14ac:dyDescent="0.2">
      <c r="A92" s="30" t="s">
        <v>187</v>
      </c>
      <c r="B92" s="36"/>
      <c r="C92" s="31">
        <v>0.15</v>
      </c>
      <c r="D92" s="31">
        <v>0.02</v>
      </c>
      <c r="E92" s="32">
        <f t="shared" si="1"/>
        <v>0.83</v>
      </c>
      <c r="F92" s="33" t="s">
        <v>28</v>
      </c>
      <c r="G92" s="34" t="s">
        <v>768</v>
      </c>
      <c r="H92" s="57" t="e">
        <f>((Tablo1[[#This Row],[Esans Fiyat]]/#REF!*Tablo1[[#This Row],[Esans]]*100)+(#REF!/1000*Tablo1[[#This Row],[Su]]*100)+(#REF!/1000*Tablo1[[#This Row],[Alkol]]*100))*(#REF!/100)+#REF!</f>
        <v>#REF!</v>
      </c>
      <c r="I92" s="33" t="s">
        <v>776</v>
      </c>
      <c r="J92" s="51" t="e">
        <f>#REF!*Tablo1[[#This Row],[Esans]]</f>
        <v>#REF!</v>
      </c>
      <c r="K92" s="51" t="e">
        <f>#REF!*Tablo1[[#This Row],[Su]]</f>
        <v>#REF!</v>
      </c>
      <c r="L92" s="51" t="e">
        <f>#REF!*Tablo1[[#This Row],[Alkol]]</f>
        <v>#REF!</v>
      </c>
      <c r="M92" s="44"/>
      <c r="N92" s="51">
        <f>(Tablo1[[#This Row],[KALAN ESANS]]/Tablo1[[#This Row],[Esans]]*0.01)*(Tablo1[[#This Row],[Alkol]]*100)</f>
        <v>0</v>
      </c>
      <c r="O92" s="51">
        <f>(Tablo1[[#This Row],[KALAN ESANS]]/Tablo1[[#This Row],[Esans]]*0.01)*(Tablo1[[#This Row],[Su]]*100)</f>
        <v>0</v>
      </c>
      <c r="P92" s="51">
        <f>Tablo1[[#This Row],[KALAN ESANS]]+Tablo1[[#This Row],[ALKOL Mik]]+Tablo1[[#This Row],[SU Mik]]</f>
        <v>0</v>
      </c>
    </row>
    <row r="93" spans="1:16" ht="15" customHeight="1" x14ac:dyDescent="0.2">
      <c r="A93" s="30" t="s">
        <v>188</v>
      </c>
      <c r="B93" s="36"/>
      <c r="C93" s="31">
        <v>0.15</v>
      </c>
      <c r="D93" s="31">
        <v>0.02</v>
      </c>
      <c r="E93" s="32">
        <f t="shared" si="1"/>
        <v>0.83</v>
      </c>
      <c r="F93" s="33" t="s">
        <v>28</v>
      </c>
      <c r="G93" s="34" t="s">
        <v>768</v>
      </c>
      <c r="H93" s="57" t="e">
        <f>((Tablo1[[#This Row],[Esans Fiyat]]/#REF!*Tablo1[[#This Row],[Esans]]*100)+(#REF!/1000*Tablo1[[#This Row],[Su]]*100)+(#REF!/1000*Tablo1[[#This Row],[Alkol]]*100))*(#REF!/100)+#REF!</f>
        <v>#REF!</v>
      </c>
      <c r="I93" s="33" t="s">
        <v>776</v>
      </c>
      <c r="J93" s="51" t="e">
        <f>#REF!*Tablo1[[#This Row],[Esans]]</f>
        <v>#REF!</v>
      </c>
      <c r="K93" s="51" t="e">
        <f>#REF!*Tablo1[[#This Row],[Su]]</f>
        <v>#REF!</v>
      </c>
      <c r="L93" s="51" t="e">
        <f>#REF!*Tablo1[[#This Row],[Alkol]]</f>
        <v>#REF!</v>
      </c>
      <c r="M93" s="44"/>
      <c r="N93" s="51">
        <f>(Tablo1[[#This Row],[KALAN ESANS]]/Tablo1[[#This Row],[Esans]]*0.01)*(Tablo1[[#This Row],[Alkol]]*100)</f>
        <v>0</v>
      </c>
      <c r="O93" s="51">
        <f>(Tablo1[[#This Row],[KALAN ESANS]]/Tablo1[[#This Row],[Esans]]*0.01)*(Tablo1[[#This Row],[Su]]*100)</f>
        <v>0</v>
      </c>
      <c r="P93" s="51">
        <f>Tablo1[[#This Row],[KALAN ESANS]]+Tablo1[[#This Row],[ALKOL Mik]]+Tablo1[[#This Row],[SU Mik]]</f>
        <v>0</v>
      </c>
    </row>
    <row r="94" spans="1:16" ht="15" customHeight="1" x14ac:dyDescent="0.2">
      <c r="A94" s="30" t="s">
        <v>186</v>
      </c>
      <c r="B94" s="36"/>
      <c r="C94" s="31">
        <v>0.15</v>
      </c>
      <c r="D94" s="31">
        <v>0.02</v>
      </c>
      <c r="E94" s="32">
        <f t="shared" si="1"/>
        <v>0.83</v>
      </c>
      <c r="F94" s="33" t="s">
        <v>28</v>
      </c>
      <c r="G94" s="34" t="s">
        <v>768</v>
      </c>
      <c r="H94" s="57" t="e">
        <f>((Tablo1[[#This Row],[Esans Fiyat]]/#REF!*Tablo1[[#This Row],[Esans]]*100)+(#REF!/1000*Tablo1[[#This Row],[Su]]*100)+(#REF!/1000*Tablo1[[#This Row],[Alkol]]*100))*(#REF!/100)+#REF!</f>
        <v>#REF!</v>
      </c>
      <c r="I94" s="33" t="s">
        <v>776</v>
      </c>
      <c r="J94" s="51" t="e">
        <f>#REF!*Tablo1[[#This Row],[Esans]]</f>
        <v>#REF!</v>
      </c>
      <c r="K94" s="51" t="e">
        <f>#REF!*Tablo1[[#This Row],[Su]]</f>
        <v>#REF!</v>
      </c>
      <c r="L94" s="51" t="e">
        <f>#REF!*Tablo1[[#This Row],[Alkol]]</f>
        <v>#REF!</v>
      </c>
      <c r="M94" s="44"/>
      <c r="N94" s="51">
        <f>(Tablo1[[#This Row],[KALAN ESANS]]/Tablo1[[#This Row],[Esans]]*0.01)*(Tablo1[[#This Row],[Alkol]]*100)</f>
        <v>0</v>
      </c>
      <c r="O94" s="51">
        <f>(Tablo1[[#This Row],[KALAN ESANS]]/Tablo1[[#This Row],[Esans]]*0.01)*(Tablo1[[#This Row],[Su]]*100)</f>
        <v>0</v>
      </c>
      <c r="P94" s="51">
        <f>Tablo1[[#This Row],[KALAN ESANS]]+Tablo1[[#This Row],[ALKOL Mik]]+Tablo1[[#This Row],[SU Mik]]</f>
        <v>0</v>
      </c>
    </row>
    <row r="95" spans="1:16" ht="15" customHeight="1" x14ac:dyDescent="0.2">
      <c r="A95" s="30" t="s">
        <v>185</v>
      </c>
      <c r="B95" s="36"/>
      <c r="C95" s="31">
        <v>0.15</v>
      </c>
      <c r="D95" s="31">
        <v>0.02</v>
      </c>
      <c r="E95" s="32">
        <f t="shared" si="1"/>
        <v>0.83</v>
      </c>
      <c r="F95" s="33" t="s">
        <v>28</v>
      </c>
      <c r="G95" s="34" t="s">
        <v>768</v>
      </c>
      <c r="H95" s="57" t="e">
        <f>((Tablo1[[#This Row],[Esans Fiyat]]/#REF!*Tablo1[[#This Row],[Esans]]*100)+(#REF!/1000*Tablo1[[#This Row],[Su]]*100)+(#REF!/1000*Tablo1[[#This Row],[Alkol]]*100))*(#REF!/100)+#REF!</f>
        <v>#REF!</v>
      </c>
      <c r="I95" s="33" t="s">
        <v>776</v>
      </c>
      <c r="J95" s="51" t="e">
        <f>#REF!*Tablo1[[#This Row],[Esans]]</f>
        <v>#REF!</v>
      </c>
      <c r="K95" s="51" t="e">
        <f>#REF!*Tablo1[[#This Row],[Su]]</f>
        <v>#REF!</v>
      </c>
      <c r="L95" s="51" t="e">
        <f>#REF!*Tablo1[[#This Row],[Alkol]]</f>
        <v>#REF!</v>
      </c>
      <c r="M95" s="44"/>
      <c r="N95" s="51">
        <f>(Tablo1[[#This Row],[KALAN ESANS]]/Tablo1[[#This Row],[Esans]]*0.01)*(Tablo1[[#This Row],[Alkol]]*100)</f>
        <v>0</v>
      </c>
      <c r="O95" s="51">
        <f>(Tablo1[[#This Row],[KALAN ESANS]]/Tablo1[[#This Row],[Esans]]*0.01)*(Tablo1[[#This Row],[Su]]*100)</f>
        <v>0</v>
      </c>
      <c r="P95" s="51">
        <f>Tablo1[[#This Row],[KALAN ESANS]]+Tablo1[[#This Row],[ALKOL Mik]]+Tablo1[[#This Row],[SU Mik]]</f>
        <v>0</v>
      </c>
    </row>
    <row r="96" spans="1:16" ht="15" customHeight="1" x14ac:dyDescent="0.2">
      <c r="A96" s="30" t="s">
        <v>184</v>
      </c>
      <c r="B96" s="36"/>
      <c r="C96" s="31">
        <v>0.15</v>
      </c>
      <c r="D96" s="31">
        <v>0.02</v>
      </c>
      <c r="E96" s="32">
        <f t="shared" si="1"/>
        <v>0.83</v>
      </c>
      <c r="F96" s="33" t="s">
        <v>28</v>
      </c>
      <c r="G96" s="34" t="s">
        <v>768</v>
      </c>
      <c r="H96" s="57" t="e">
        <f>((Tablo1[[#This Row],[Esans Fiyat]]/#REF!*Tablo1[[#This Row],[Esans]]*100)+(#REF!/1000*Tablo1[[#This Row],[Su]]*100)+(#REF!/1000*Tablo1[[#This Row],[Alkol]]*100))*(#REF!/100)+#REF!</f>
        <v>#REF!</v>
      </c>
      <c r="I96" s="33" t="s">
        <v>776</v>
      </c>
      <c r="J96" s="51" t="e">
        <f>#REF!*Tablo1[[#This Row],[Esans]]</f>
        <v>#REF!</v>
      </c>
      <c r="K96" s="51" t="e">
        <f>#REF!*Tablo1[[#This Row],[Su]]</f>
        <v>#REF!</v>
      </c>
      <c r="L96" s="51" t="e">
        <f>#REF!*Tablo1[[#This Row],[Alkol]]</f>
        <v>#REF!</v>
      </c>
      <c r="M96" s="44"/>
      <c r="N96" s="51">
        <f>(Tablo1[[#This Row],[KALAN ESANS]]/Tablo1[[#This Row],[Esans]]*0.01)*(Tablo1[[#This Row],[Alkol]]*100)</f>
        <v>0</v>
      </c>
      <c r="O96" s="51">
        <f>(Tablo1[[#This Row],[KALAN ESANS]]/Tablo1[[#This Row],[Esans]]*0.01)*(Tablo1[[#This Row],[Su]]*100)</f>
        <v>0</v>
      </c>
      <c r="P96" s="51">
        <f>Tablo1[[#This Row],[KALAN ESANS]]+Tablo1[[#This Row],[ALKOL Mik]]+Tablo1[[#This Row],[SU Mik]]</f>
        <v>0</v>
      </c>
    </row>
    <row r="97" spans="1:16" ht="15" customHeight="1" x14ac:dyDescent="0.2">
      <c r="A97" s="30" t="s">
        <v>183</v>
      </c>
      <c r="B97" s="36"/>
      <c r="C97" s="31">
        <v>0.15</v>
      </c>
      <c r="D97" s="31">
        <v>0.02</v>
      </c>
      <c r="E97" s="32">
        <f t="shared" si="1"/>
        <v>0.83</v>
      </c>
      <c r="F97" s="33" t="s">
        <v>28</v>
      </c>
      <c r="G97" s="34" t="s">
        <v>768</v>
      </c>
      <c r="H97" s="57" t="e">
        <f>((Tablo1[[#This Row],[Esans Fiyat]]/#REF!*Tablo1[[#This Row],[Esans]]*100)+(#REF!/1000*Tablo1[[#This Row],[Su]]*100)+(#REF!/1000*Tablo1[[#This Row],[Alkol]]*100))*(#REF!/100)+#REF!</f>
        <v>#REF!</v>
      </c>
      <c r="I97" s="33" t="s">
        <v>776</v>
      </c>
      <c r="J97" s="51" t="e">
        <f>#REF!*Tablo1[[#This Row],[Esans]]</f>
        <v>#REF!</v>
      </c>
      <c r="K97" s="51" t="e">
        <f>#REF!*Tablo1[[#This Row],[Su]]</f>
        <v>#REF!</v>
      </c>
      <c r="L97" s="51" t="e">
        <f>#REF!*Tablo1[[#This Row],[Alkol]]</f>
        <v>#REF!</v>
      </c>
      <c r="M97" s="44"/>
      <c r="N97" s="51">
        <f>(Tablo1[[#This Row],[KALAN ESANS]]/Tablo1[[#This Row],[Esans]]*0.01)*(Tablo1[[#This Row],[Alkol]]*100)</f>
        <v>0</v>
      </c>
      <c r="O97" s="51">
        <f>(Tablo1[[#This Row],[KALAN ESANS]]/Tablo1[[#This Row],[Esans]]*0.01)*(Tablo1[[#This Row],[Su]]*100)</f>
        <v>0</v>
      </c>
      <c r="P97" s="51">
        <f>Tablo1[[#This Row],[KALAN ESANS]]+Tablo1[[#This Row],[ALKOL Mik]]+Tablo1[[#This Row],[SU Mik]]</f>
        <v>0</v>
      </c>
    </row>
    <row r="98" spans="1:16" ht="15" customHeight="1" x14ac:dyDescent="0.2">
      <c r="A98" s="30" t="s">
        <v>182</v>
      </c>
      <c r="B98" s="36"/>
      <c r="C98" s="31">
        <v>0.15</v>
      </c>
      <c r="D98" s="31">
        <v>0.02</v>
      </c>
      <c r="E98" s="32">
        <f t="shared" si="1"/>
        <v>0.83</v>
      </c>
      <c r="F98" s="33" t="s">
        <v>28</v>
      </c>
      <c r="G98" s="34" t="s">
        <v>768</v>
      </c>
      <c r="H98" s="57" t="e">
        <f>((Tablo1[[#This Row],[Esans Fiyat]]/#REF!*Tablo1[[#This Row],[Esans]]*100)+(#REF!/1000*Tablo1[[#This Row],[Su]]*100)+(#REF!/1000*Tablo1[[#This Row],[Alkol]]*100))*(#REF!/100)+#REF!</f>
        <v>#REF!</v>
      </c>
      <c r="I98" s="33" t="s">
        <v>776</v>
      </c>
      <c r="J98" s="51" t="e">
        <f>#REF!*Tablo1[[#This Row],[Esans]]</f>
        <v>#REF!</v>
      </c>
      <c r="K98" s="51" t="e">
        <f>#REF!*Tablo1[[#This Row],[Su]]</f>
        <v>#REF!</v>
      </c>
      <c r="L98" s="51" t="e">
        <f>#REF!*Tablo1[[#This Row],[Alkol]]</f>
        <v>#REF!</v>
      </c>
      <c r="M98" s="44"/>
      <c r="N98" s="51">
        <f>(Tablo1[[#This Row],[KALAN ESANS]]/Tablo1[[#This Row],[Esans]]*0.01)*(Tablo1[[#This Row],[Alkol]]*100)</f>
        <v>0</v>
      </c>
      <c r="O98" s="51">
        <f>(Tablo1[[#This Row],[KALAN ESANS]]/Tablo1[[#This Row],[Esans]]*0.01)*(Tablo1[[#This Row],[Su]]*100)</f>
        <v>0</v>
      </c>
      <c r="P98" s="51">
        <f>Tablo1[[#This Row],[KALAN ESANS]]+Tablo1[[#This Row],[ALKOL Mik]]+Tablo1[[#This Row],[SU Mik]]</f>
        <v>0</v>
      </c>
    </row>
    <row r="99" spans="1:16" ht="15" customHeight="1" x14ac:dyDescent="0.2">
      <c r="A99" s="30" t="s">
        <v>181</v>
      </c>
      <c r="B99" s="36"/>
      <c r="C99" s="31">
        <v>0.15</v>
      </c>
      <c r="D99" s="31">
        <v>0.02</v>
      </c>
      <c r="E99" s="32">
        <f t="shared" si="1"/>
        <v>0.83</v>
      </c>
      <c r="F99" s="33" t="s">
        <v>28</v>
      </c>
      <c r="G99" s="34" t="s">
        <v>768</v>
      </c>
      <c r="H99" s="57" t="e">
        <f>((Tablo1[[#This Row],[Esans Fiyat]]/#REF!*Tablo1[[#This Row],[Esans]]*100)+(#REF!/1000*Tablo1[[#This Row],[Su]]*100)+(#REF!/1000*Tablo1[[#This Row],[Alkol]]*100))*(#REF!/100)+#REF!</f>
        <v>#REF!</v>
      </c>
      <c r="I99" s="33" t="s">
        <v>776</v>
      </c>
      <c r="J99" s="51" t="e">
        <f>#REF!*Tablo1[[#This Row],[Esans]]</f>
        <v>#REF!</v>
      </c>
      <c r="K99" s="51" t="e">
        <f>#REF!*Tablo1[[#This Row],[Su]]</f>
        <v>#REF!</v>
      </c>
      <c r="L99" s="51" t="e">
        <f>#REF!*Tablo1[[#This Row],[Alkol]]</f>
        <v>#REF!</v>
      </c>
      <c r="M99" s="44"/>
      <c r="N99" s="51">
        <f>(Tablo1[[#This Row],[KALAN ESANS]]/Tablo1[[#This Row],[Esans]]*0.01)*(Tablo1[[#This Row],[Alkol]]*100)</f>
        <v>0</v>
      </c>
      <c r="O99" s="51">
        <f>(Tablo1[[#This Row],[KALAN ESANS]]/Tablo1[[#This Row],[Esans]]*0.01)*(Tablo1[[#This Row],[Su]]*100)</f>
        <v>0</v>
      </c>
      <c r="P99" s="51">
        <f>Tablo1[[#This Row],[KALAN ESANS]]+Tablo1[[#This Row],[ALKOL Mik]]+Tablo1[[#This Row],[SU Mik]]</f>
        <v>0</v>
      </c>
    </row>
    <row r="100" spans="1:16" ht="15" customHeight="1" x14ac:dyDescent="0.2">
      <c r="A100" s="30" t="s">
        <v>175</v>
      </c>
      <c r="B100" s="36"/>
      <c r="C100" s="31">
        <v>0.18</v>
      </c>
      <c r="D100" s="31">
        <v>0.02</v>
      </c>
      <c r="E100" s="32">
        <f t="shared" si="1"/>
        <v>0.8</v>
      </c>
      <c r="F100" s="33" t="s">
        <v>25</v>
      </c>
      <c r="G100" s="34" t="s">
        <v>768</v>
      </c>
      <c r="H100" s="57" t="e">
        <f>((Tablo1[[#This Row],[Esans Fiyat]]/#REF!*Tablo1[[#This Row],[Esans]]*100)+(#REF!/1000*Tablo1[[#This Row],[Su]]*100)+(#REF!/1000*Tablo1[[#This Row],[Alkol]]*100))*(#REF!/100)+#REF!</f>
        <v>#REF!</v>
      </c>
      <c r="I100" s="33" t="s">
        <v>772</v>
      </c>
      <c r="J100" s="51" t="e">
        <f>#REF!*Tablo1[[#This Row],[Esans]]</f>
        <v>#REF!</v>
      </c>
      <c r="K100" s="51" t="e">
        <f>#REF!*Tablo1[[#This Row],[Su]]</f>
        <v>#REF!</v>
      </c>
      <c r="L100" s="51" t="e">
        <f>#REF!*Tablo1[[#This Row],[Alkol]]</f>
        <v>#REF!</v>
      </c>
      <c r="M100" s="44"/>
      <c r="N100" s="51">
        <f>(Tablo1[[#This Row],[KALAN ESANS]]/Tablo1[[#This Row],[Esans]]*0.01)*(Tablo1[[#This Row],[Alkol]]*100)</f>
        <v>0</v>
      </c>
      <c r="O100" s="51">
        <f>(Tablo1[[#This Row],[KALAN ESANS]]/Tablo1[[#This Row],[Esans]]*0.01)*(Tablo1[[#This Row],[Su]]*100)</f>
        <v>0</v>
      </c>
      <c r="P100" s="51">
        <f>Tablo1[[#This Row],[KALAN ESANS]]+Tablo1[[#This Row],[ALKOL Mik]]+Tablo1[[#This Row],[SU Mik]]</f>
        <v>0</v>
      </c>
    </row>
    <row r="101" spans="1:16" ht="15" customHeight="1" x14ac:dyDescent="0.2">
      <c r="A101" s="30" t="s">
        <v>180</v>
      </c>
      <c r="B101" s="36"/>
      <c r="C101" s="31">
        <v>0.15</v>
      </c>
      <c r="D101" s="31">
        <v>0.02</v>
      </c>
      <c r="E101" s="32">
        <f t="shared" si="1"/>
        <v>0.83</v>
      </c>
      <c r="F101" s="33" t="s">
        <v>28</v>
      </c>
      <c r="G101" s="34" t="s">
        <v>768</v>
      </c>
      <c r="H101" s="57" t="e">
        <f>((Tablo1[[#This Row],[Esans Fiyat]]/#REF!*Tablo1[[#This Row],[Esans]]*100)+(#REF!/1000*Tablo1[[#This Row],[Su]]*100)+(#REF!/1000*Tablo1[[#This Row],[Alkol]]*100))*(#REF!/100)+#REF!</f>
        <v>#REF!</v>
      </c>
      <c r="I101" s="33" t="s">
        <v>772</v>
      </c>
      <c r="J101" s="51" t="e">
        <f>#REF!*Tablo1[[#This Row],[Esans]]</f>
        <v>#REF!</v>
      </c>
      <c r="K101" s="51" t="e">
        <f>#REF!*Tablo1[[#This Row],[Su]]</f>
        <v>#REF!</v>
      </c>
      <c r="L101" s="51" t="e">
        <f>#REF!*Tablo1[[#This Row],[Alkol]]</f>
        <v>#REF!</v>
      </c>
      <c r="M101" s="44"/>
      <c r="N101" s="51">
        <f>(Tablo1[[#This Row],[KALAN ESANS]]/Tablo1[[#This Row],[Esans]]*0.01)*(Tablo1[[#This Row],[Alkol]]*100)</f>
        <v>0</v>
      </c>
      <c r="O101" s="51">
        <f>(Tablo1[[#This Row],[KALAN ESANS]]/Tablo1[[#This Row],[Esans]]*0.01)*(Tablo1[[#This Row],[Su]]*100)</f>
        <v>0</v>
      </c>
      <c r="P101" s="51">
        <f>Tablo1[[#This Row],[KALAN ESANS]]+Tablo1[[#This Row],[ALKOL Mik]]+Tablo1[[#This Row],[SU Mik]]</f>
        <v>0</v>
      </c>
    </row>
    <row r="102" spans="1:16" ht="15" customHeight="1" x14ac:dyDescent="0.2">
      <c r="A102" s="30" t="s">
        <v>176</v>
      </c>
      <c r="B102" s="36"/>
      <c r="C102" s="31">
        <v>0.15</v>
      </c>
      <c r="D102" s="31">
        <v>0.02</v>
      </c>
      <c r="E102" s="32">
        <f t="shared" si="1"/>
        <v>0.83</v>
      </c>
      <c r="F102" s="33" t="s">
        <v>28</v>
      </c>
      <c r="G102" s="34" t="s">
        <v>768</v>
      </c>
      <c r="H102" s="57" t="e">
        <f>((Tablo1[[#This Row],[Esans Fiyat]]/#REF!*Tablo1[[#This Row],[Esans]]*100)+(#REF!/1000*Tablo1[[#This Row],[Su]]*100)+(#REF!/1000*Tablo1[[#This Row],[Alkol]]*100))*(#REF!/100)+#REF!</f>
        <v>#REF!</v>
      </c>
      <c r="I102" s="33" t="s">
        <v>776</v>
      </c>
      <c r="J102" s="51" t="e">
        <f>#REF!*Tablo1[[#This Row],[Esans]]</f>
        <v>#REF!</v>
      </c>
      <c r="K102" s="51" t="e">
        <f>#REF!*Tablo1[[#This Row],[Su]]</f>
        <v>#REF!</v>
      </c>
      <c r="L102" s="51" t="e">
        <f>#REF!*Tablo1[[#This Row],[Alkol]]</f>
        <v>#REF!</v>
      </c>
      <c r="M102" s="44"/>
      <c r="N102" s="51">
        <f>(Tablo1[[#This Row],[KALAN ESANS]]/Tablo1[[#This Row],[Esans]]*0.01)*(Tablo1[[#This Row],[Alkol]]*100)</f>
        <v>0</v>
      </c>
      <c r="O102" s="51">
        <f>(Tablo1[[#This Row],[KALAN ESANS]]/Tablo1[[#This Row],[Esans]]*0.01)*(Tablo1[[#This Row],[Su]]*100)</f>
        <v>0</v>
      </c>
      <c r="P102" s="51">
        <f>Tablo1[[#This Row],[KALAN ESANS]]+Tablo1[[#This Row],[ALKOL Mik]]+Tablo1[[#This Row],[SU Mik]]</f>
        <v>0</v>
      </c>
    </row>
    <row r="103" spans="1:16" ht="15" customHeight="1" x14ac:dyDescent="0.2">
      <c r="A103" s="30" t="s">
        <v>179</v>
      </c>
      <c r="B103" s="36"/>
      <c r="C103" s="31">
        <v>0.15</v>
      </c>
      <c r="D103" s="31">
        <v>0.02</v>
      </c>
      <c r="E103" s="32">
        <f t="shared" si="1"/>
        <v>0.83</v>
      </c>
      <c r="F103" s="33" t="s">
        <v>28</v>
      </c>
      <c r="G103" s="34" t="s">
        <v>768</v>
      </c>
      <c r="H103" s="57" t="e">
        <f>((Tablo1[[#This Row],[Esans Fiyat]]/#REF!*Tablo1[[#This Row],[Esans]]*100)+(#REF!/1000*Tablo1[[#This Row],[Su]]*100)+(#REF!/1000*Tablo1[[#This Row],[Alkol]]*100))*(#REF!/100)+#REF!</f>
        <v>#REF!</v>
      </c>
      <c r="I103" s="33" t="s">
        <v>776</v>
      </c>
      <c r="J103" s="51" t="e">
        <f>#REF!*Tablo1[[#This Row],[Esans]]</f>
        <v>#REF!</v>
      </c>
      <c r="K103" s="51" t="e">
        <f>#REF!*Tablo1[[#This Row],[Su]]</f>
        <v>#REF!</v>
      </c>
      <c r="L103" s="51" t="e">
        <f>#REF!*Tablo1[[#This Row],[Alkol]]</f>
        <v>#REF!</v>
      </c>
      <c r="M103" s="44"/>
      <c r="N103" s="51">
        <f>(Tablo1[[#This Row],[KALAN ESANS]]/Tablo1[[#This Row],[Esans]]*0.01)*(Tablo1[[#This Row],[Alkol]]*100)</f>
        <v>0</v>
      </c>
      <c r="O103" s="51">
        <f>(Tablo1[[#This Row],[KALAN ESANS]]/Tablo1[[#This Row],[Esans]]*0.01)*(Tablo1[[#This Row],[Su]]*100)</f>
        <v>0</v>
      </c>
      <c r="P103" s="51">
        <f>Tablo1[[#This Row],[KALAN ESANS]]+Tablo1[[#This Row],[ALKOL Mik]]+Tablo1[[#This Row],[SU Mik]]</f>
        <v>0</v>
      </c>
    </row>
    <row r="104" spans="1:16" ht="15" customHeight="1" x14ac:dyDescent="0.2">
      <c r="A104" s="30" t="s">
        <v>178</v>
      </c>
      <c r="B104" s="36"/>
      <c r="C104" s="31">
        <v>0.2</v>
      </c>
      <c r="D104" s="31">
        <v>0.02</v>
      </c>
      <c r="E104" s="32">
        <f t="shared" si="1"/>
        <v>0.78</v>
      </c>
      <c r="F104" s="33" t="s">
        <v>25</v>
      </c>
      <c r="G104" s="34" t="s">
        <v>768</v>
      </c>
      <c r="H104" s="57" t="e">
        <f>((Tablo1[[#This Row],[Esans Fiyat]]/#REF!*Tablo1[[#This Row],[Esans]]*100)+(#REF!/1000*Tablo1[[#This Row],[Su]]*100)+(#REF!/1000*Tablo1[[#This Row],[Alkol]]*100))*(#REF!/100)+#REF!</f>
        <v>#REF!</v>
      </c>
      <c r="I104" s="33" t="s">
        <v>776</v>
      </c>
      <c r="J104" s="51" t="e">
        <f>#REF!*Tablo1[[#This Row],[Esans]]</f>
        <v>#REF!</v>
      </c>
      <c r="K104" s="51" t="e">
        <f>#REF!*Tablo1[[#This Row],[Su]]</f>
        <v>#REF!</v>
      </c>
      <c r="L104" s="51" t="e">
        <f>#REF!*Tablo1[[#This Row],[Alkol]]</f>
        <v>#REF!</v>
      </c>
      <c r="M104" s="44"/>
      <c r="N104" s="51">
        <f>(Tablo1[[#This Row],[KALAN ESANS]]/Tablo1[[#This Row],[Esans]]*0.01)*(Tablo1[[#This Row],[Alkol]]*100)</f>
        <v>0</v>
      </c>
      <c r="O104" s="51">
        <f>(Tablo1[[#This Row],[KALAN ESANS]]/Tablo1[[#This Row],[Esans]]*0.01)*(Tablo1[[#This Row],[Su]]*100)</f>
        <v>0</v>
      </c>
      <c r="P104" s="51">
        <f>Tablo1[[#This Row],[KALAN ESANS]]+Tablo1[[#This Row],[ALKOL Mik]]+Tablo1[[#This Row],[SU Mik]]</f>
        <v>0</v>
      </c>
    </row>
    <row r="105" spans="1:16" ht="15" customHeight="1" x14ac:dyDescent="0.2">
      <c r="A105" s="30" t="s">
        <v>177</v>
      </c>
      <c r="B105" s="36"/>
      <c r="C105" s="31">
        <v>0.2</v>
      </c>
      <c r="D105" s="31">
        <v>0.02</v>
      </c>
      <c r="E105" s="32">
        <f t="shared" si="1"/>
        <v>0.78</v>
      </c>
      <c r="F105" s="33" t="s">
        <v>25</v>
      </c>
      <c r="G105" s="34" t="s">
        <v>768</v>
      </c>
      <c r="H105" s="57" t="e">
        <f>((Tablo1[[#This Row],[Esans Fiyat]]/#REF!*Tablo1[[#This Row],[Esans]]*100)+(#REF!/1000*Tablo1[[#This Row],[Su]]*100)+(#REF!/1000*Tablo1[[#This Row],[Alkol]]*100))*(#REF!/100)+#REF!</f>
        <v>#REF!</v>
      </c>
      <c r="I105" s="33" t="s">
        <v>774</v>
      </c>
      <c r="J105" s="51" t="e">
        <f>#REF!*Tablo1[[#This Row],[Esans]]</f>
        <v>#REF!</v>
      </c>
      <c r="K105" s="51" t="e">
        <f>#REF!*Tablo1[[#This Row],[Su]]</f>
        <v>#REF!</v>
      </c>
      <c r="L105" s="51" t="e">
        <f>#REF!*Tablo1[[#This Row],[Alkol]]</f>
        <v>#REF!</v>
      </c>
      <c r="M105" s="44"/>
      <c r="N105" s="51">
        <f>(Tablo1[[#This Row],[KALAN ESANS]]/Tablo1[[#This Row],[Esans]]*0.01)*(Tablo1[[#This Row],[Alkol]]*100)</f>
        <v>0</v>
      </c>
      <c r="O105" s="51">
        <f>(Tablo1[[#This Row],[KALAN ESANS]]/Tablo1[[#This Row],[Esans]]*0.01)*(Tablo1[[#This Row],[Su]]*100)</f>
        <v>0</v>
      </c>
      <c r="P105" s="51">
        <f>Tablo1[[#This Row],[KALAN ESANS]]+Tablo1[[#This Row],[ALKOL Mik]]+Tablo1[[#This Row],[SU Mik]]</f>
        <v>0</v>
      </c>
    </row>
    <row r="106" spans="1:16" ht="15" customHeight="1" x14ac:dyDescent="0.2">
      <c r="A106" s="30" t="s">
        <v>173</v>
      </c>
      <c r="B106" s="36"/>
      <c r="C106" s="31">
        <v>0.15</v>
      </c>
      <c r="D106" s="31">
        <v>0.02</v>
      </c>
      <c r="E106" s="32">
        <f t="shared" si="1"/>
        <v>0.83</v>
      </c>
      <c r="F106" s="33" t="s">
        <v>28</v>
      </c>
      <c r="G106" s="34" t="s">
        <v>768</v>
      </c>
      <c r="H106" s="57" t="e">
        <f>((Tablo1[[#This Row],[Esans Fiyat]]/#REF!*Tablo1[[#This Row],[Esans]]*100)+(#REF!/1000*Tablo1[[#This Row],[Su]]*100)+(#REF!/1000*Tablo1[[#This Row],[Alkol]]*100))*(#REF!/100)+#REF!</f>
        <v>#REF!</v>
      </c>
      <c r="I106" s="33" t="s">
        <v>776</v>
      </c>
      <c r="J106" s="51" t="e">
        <f>#REF!*Tablo1[[#This Row],[Esans]]</f>
        <v>#REF!</v>
      </c>
      <c r="K106" s="51" t="e">
        <f>#REF!*Tablo1[[#This Row],[Su]]</f>
        <v>#REF!</v>
      </c>
      <c r="L106" s="51" t="e">
        <f>#REF!*Tablo1[[#This Row],[Alkol]]</f>
        <v>#REF!</v>
      </c>
      <c r="M106" s="44"/>
      <c r="N106" s="51">
        <f>(Tablo1[[#This Row],[KALAN ESANS]]/Tablo1[[#This Row],[Esans]]*0.01)*(Tablo1[[#This Row],[Alkol]]*100)</f>
        <v>0</v>
      </c>
      <c r="O106" s="51">
        <f>(Tablo1[[#This Row],[KALAN ESANS]]/Tablo1[[#This Row],[Esans]]*0.01)*(Tablo1[[#This Row],[Su]]*100)</f>
        <v>0</v>
      </c>
      <c r="P106" s="51">
        <f>Tablo1[[#This Row],[KALAN ESANS]]+Tablo1[[#This Row],[ALKOL Mik]]+Tablo1[[#This Row],[SU Mik]]</f>
        <v>0</v>
      </c>
    </row>
    <row r="107" spans="1:16" ht="15" customHeight="1" x14ac:dyDescent="0.2">
      <c r="A107" s="30" t="s">
        <v>174</v>
      </c>
      <c r="B107" s="36"/>
      <c r="C107" s="31">
        <v>0.15</v>
      </c>
      <c r="D107" s="31">
        <v>0.02</v>
      </c>
      <c r="E107" s="32">
        <f t="shared" si="1"/>
        <v>0.83</v>
      </c>
      <c r="F107" s="33" t="s">
        <v>28</v>
      </c>
      <c r="G107" s="34" t="s">
        <v>768</v>
      </c>
      <c r="H107" s="57" t="e">
        <f>((Tablo1[[#This Row],[Esans Fiyat]]/#REF!*Tablo1[[#This Row],[Esans]]*100)+(#REF!/1000*Tablo1[[#This Row],[Su]]*100)+(#REF!/1000*Tablo1[[#This Row],[Alkol]]*100))*(#REF!/100)+#REF!</f>
        <v>#REF!</v>
      </c>
      <c r="I107" s="33" t="s">
        <v>776</v>
      </c>
      <c r="J107" s="51" t="e">
        <f>#REF!*Tablo1[[#This Row],[Esans]]</f>
        <v>#REF!</v>
      </c>
      <c r="K107" s="51" t="e">
        <f>#REF!*Tablo1[[#This Row],[Su]]</f>
        <v>#REF!</v>
      </c>
      <c r="L107" s="51" t="e">
        <f>#REF!*Tablo1[[#This Row],[Alkol]]</f>
        <v>#REF!</v>
      </c>
      <c r="M107" s="44"/>
      <c r="N107" s="51">
        <f>(Tablo1[[#This Row],[KALAN ESANS]]/Tablo1[[#This Row],[Esans]]*0.01)*(Tablo1[[#This Row],[Alkol]]*100)</f>
        <v>0</v>
      </c>
      <c r="O107" s="51">
        <f>(Tablo1[[#This Row],[KALAN ESANS]]/Tablo1[[#This Row],[Esans]]*0.01)*(Tablo1[[#This Row],[Su]]*100)</f>
        <v>0</v>
      </c>
      <c r="P107" s="51">
        <f>Tablo1[[#This Row],[KALAN ESANS]]+Tablo1[[#This Row],[ALKOL Mik]]+Tablo1[[#This Row],[SU Mik]]</f>
        <v>0</v>
      </c>
    </row>
    <row r="108" spans="1:16" ht="15" customHeight="1" x14ac:dyDescent="0.2">
      <c r="A108" s="30" t="s">
        <v>172</v>
      </c>
      <c r="B108" s="36"/>
      <c r="C108" s="31">
        <v>0.15</v>
      </c>
      <c r="D108" s="31">
        <v>0.02</v>
      </c>
      <c r="E108" s="32">
        <f t="shared" si="1"/>
        <v>0.83</v>
      </c>
      <c r="F108" s="33" t="s">
        <v>28</v>
      </c>
      <c r="G108" s="34" t="s">
        <v>768</v>
      </c>
      <c r="H108" s="57" t="e">
        <f>((Tablo1[[#This Row],[Esans Fiyat]]/#REF!*Tablo1[[#This Row],[Esans]]*100)+(#REF!/1000*Tablo1[[#This Row],[Su]]*100)+(#REF!/1000*Tablo1[[#This Row],[Alkol]]*100))*(#REF!/100)+#REF!</f>
        <v>#REF!</v>
      </c>
      <c r="I108" s="33" t="s">
        <v>776</v>
      </c>
      <c r="J108" s="51" t="e">
        <f>#REF!*Tablo1[[#This Row],[Esans]]</f>
        <v>#REF!</v>
      </c>
      <c r="K108" s="51" t="e">
        <f>#REF!*Tablo1[[#This Row],[Su]]</f>
        <v>#REF!</v>
      </c>
      <c r="L108" s="51" t="e">
        <f>#REF!*Tablo1[[#This Row],[Alkol]]</f>
        <v>#REF!</v>
      </c>
      <c r="M108" s="44"/>
      <c r="N108" s="51">
        <f>(Tablo1[[#This Row],[KALAN ESANS]]/Tablo1[[#This Row],[Esans]]*0.01)*(Tablo1[[#This Row],[Alkol]]*100)</f>
        <v>0</v>
      </c>
      <c r="O108" s="51">
        <f>(Tablo1[[#This Row],[KALAN ESANS]]/Tablo1[[#This Row],[Esans]]*0.01)*(Tablo1[[#This Row],[Su]]*100)</f>
        <v>0</v>
      </c>
      <c r="P108" s="51">
        <f>Tablo1[[#This Row],[KALAN ESANS]]+Tablo1[[#This Row],[ALKOL Mik]]+Tablo1[[#This Row],[SU Mik]]</f>
        <v>0</v>
      </c>
    </row>
    <row r="109" spans="1:16" ht="15" customHeight="1" x14ac:dyDescent="0.2">
      <c r="A109" s="30" t="s">
        <v>171</v>
      </c>
      <c r="B109" s="36"/>
      <c r="C109" s="31">
        <v>0.15</v>
      </c>
      <c r="D109" s="31">
        <v>0.02</v>
      </c>
      <c r="E109" s="32">
        <f t="shared" si="1"/>
        <v>0.83</v>
      </c>
      <c r="F109" s="33" t="s">
        <v>28</v>
      </c>
      <c r="G109" s="34" t="s">
        <v>768</v>
      </c>
      <c r="H109" s="57" t="e">
        <f>((Tablo1[[#This Row],[Esans Fiyat]]/#REF!*Tablo1[[#This Row],[Esans]]*100)+(#REF!/1000*Tablo1[[#This Row],[Su]]*100)+(#REF!/1000*Tablo1[[#This Row],[Alkol]]*100))*(#REF!/100)+#REF!</f>
        <v>#REF!</v>
      </c>
      <c r="I109" s="33" t="s">
        <v>776</v>
      </c>
      <c r="J109" s="51" t="e">
        <f>#REF!*Tablo1[[#This Row],[Esans]]</f>
        <v>#REF!</v>
      </c>
      <c r="K109" s="51" t="e">
        <f>#REF!*Tablo1[[#This Row],[Su]]</f>
        <v>#REF!</v>
      </c>
      <c r="L109" s="51" t="e">
        <f>#REF!*Tablo1[[#This Row],[Alkol]]</f>
        <v>#REF!</v>
      </c>
      <c r="M109" s="44"/>
      <c r="N109" s="51">
        <f>(Tablo1[[#This Row],[KALAN ESANS]]/Tablo1[[#This Row],[Esans]]*0.01)*(Tablo1[[#This Row],[Alkol]]*100)</f>
        <v>0</v>
      </c>
      <c r="O109" s="51">
        <f>(Tablo1[[#This Row],[KALAN ESANS]]/Tablo1[[#This Row],[Esans]]*0.01)*(Tablo1[[#This Row],[Su]]*100)</f>
        <v>0</v>
      </c>
      <c r="P109" s="51">
        <f>Tablo1[[#This Row],[KALAN ESANS]]+Tablo1[[#This Row],[ALKOL Mik]]+Tablo1[[#This Row],[SU Mik]]</f>
        <v>0</v>
      </c>
    </row>
    <row r="110" spans="1:16" ht="15" customHeight="1" x14ac:dyDescent="0.2">
      <c r="A110" s="30" t="s">
        <v>170</v>
      </c>
      <c r="B110" s="36"/>
      <c r="C110" s="31">
        <v>0.15</v>
      </c>
      <c r="D110" s="31">
        <v>0.02</v>
      </c>
      <c r="E110" s="32">
        <f t="shared" si="1"/>
        <v>0.83</v>
      </c>
      <c r="F110" s="33" t="s">
        <v>28</v>
      </c>
      <c r="G110" s="34" t="s">
        <v>768</v>
      </c>
      <c r="H110" s="57" t="e">
        <f>((Tablo1[[#This Row],[Esans Fiyat]]/#REF!*Tablo1[[#This Row],[Esans]]*100)+(#REF!/1000*Tablo1[[#This Row],[Su]]*100)+(#REF!/1000*Tablo1[[#This Row],[Alkol]]*100))*(#REF!/100)+#REF!</f>
        <v>#REF!</v>
      </c>
      <c r="I110" s="33" t="s">
        <v>772</v>
      </c>
      <c r="J110" s="51" t="e">
        <f>#REF!*Tablo1[[#This Row],[Esans]]</f>
        <v>#REF!</v>
      </c>
      <c r="K110" s="51" t="e">
        <f>#REF!*Tablo1[[#This Row],[Su]]</f>
        <v>#REF!</v>
      </c>
      <c r="L110" s="51" t="e">
        <f>#REF!*Tablo1[[#This Row],[Alkol]]</f>
        <v>#REF!</v>
      </c>
      <c r="M110" s="44"/>
      <c r="N110" s="51">
        <f>(Tablo1[[#This Row],[KALAN ESANS]]/Tablo1[[#This Row],[Esans]]*0.01)*(Tablo1[[#This Row],[Alkol]]*100)</f>
        <v>0</v>
      </c>
      <c r="O110" s="51">
        <f>(Tablo1[[#This Row],[KALAN ESANS]]/Tablo1[[#This Row],[Esans]]*0.01)*(Tablo1[[#This Row],[Su]]*100)</f>
        <v>0</v>
      </c>
      <c r="P110" s="51">
        <f>Tablo1[[#This Row],[KALAN ESANS]]+Tablo1[[#This Row],[ALKOL Mik]]+Tablo1[[#This Row],[SU Mik]]</f>
        <v>0</v>
      </c>
    </row>
    <row r="111" spans="1:16" ht="15" customHeight="1" x14ac:dyDescent="0.2">
      <c r="A111" s="30" t="s">
        <v>167</v>
      </c>
      <c r="B111" s="36"/>
      <c r="C111" s="31">
        <v>0.2</v>
      </c>
      <c r="D111" s="31">
        <v>0.02</v>
      </c>
      <c r="E111" s="32">
        <f t="shared" si="1"/>
        <v>0.78</v>
      </c>
      <c r="F111" s="33" t="s">
        <v>25</v>
      </c>
      <c r="G111" s="34" t="s">
        <v>768</v>
      </c>
      <c r="H111" s="57" t="e">
        <f>((Tablo1[[#This Row],[Esans Fiyat]]/#REF!*Tablo1[[#This Row],[Esans]]*100)+(#REF!/1000*Tablo1[[#This Row],[Su]]*100)+(#REF!/1000*Tablo1[[#This Row],[Alkol]]*100))*(#REF!/100)+#REF!</f>
        <v>#REF!</v>
      </c>
      <c r="I111" s="33" t="s">
        <v>776</v>
      </c>
      <c r="J111" s="51" t="e">
        <f>#REF!*Tablo1[[#This Row],[Esans]]</f>
        <v>#REF!</v>
      </c>
      <c r="K111" s="51" t="e">
        <f>#REF!*Tablo1[[#This Row],[Su]]</f>
        <v>#REF!</v>
      </c>
      <c r="L111" s="51" t="e">
        <f>#REF!*Tablo1[[#This Row],[Alkol]]</f>
        <v>#REF!</v>
      </c>
      <c r="M111" s="44"/>
      <c r="N111" s="51">
        <f>(Tablo1[[#This Row],[KALAN ESANS]]/Tablo1[[#This Row],[Esans]]*0.01)*(Tablo1[[#This Row],[Alkol]]*100)</f>
        <v>0</v>
      </c>
      <c r="O111" s="51">
        <f>(Tablo1[[#This Row],[KALAN ESANS]]/Tablo1[[#This Row],[Esans]]*0.01)*(Tablo1[[#This Row],[Su]]*100)</f>
        <v>0</v>
      </c>
      <c r="P111" s="51">
        <f>Tablo1[[#This Row],[KALAN ESANS]]+Tablo1[[#This Row],[ALKOL Mik]]+Tablo1[[#This Row],[SU Mik]]</f>
        <v>0</v>
      </c>
    </row>
    <row r="112" spans="1:16" ht="15" customHeight="1" x14ac:dyDescent="0.2">
      <c r="A112" s="30" t="s">
        <v>169</v>
      </c>
      <c r="B112" s="36"/>
      <c r="C112" s="31">
        <v>0.15</v>
      </c>
      <c r="D112" s="31">
        <v>0</v>
      </c>
      <c r="E112" s="32">
        <f t="shared" si="1"/>
        <v>0.85</v>
      </c>
      <c r="F112" s="33" t="s">
        <v>28</v>
      </c>
      <c r="G112" s="34" t="s">
        <v>768</v>
      </c>
      <c r="H112" s="57" t="e">
        <f>((Tablo1[[#This Row],[Esans Fiyat]]/#REF!*Tablo1[[#This Row],[Esans]]*100)+(#REF!/1000*Tablo1[[#This Row],[Su]]*100)+(#REF!/1000*Tablo1[[#This Row],[Alkol]]*100))*(#REF!/100)+#REF!</f>
        <v>#REF!</v>
      </c>
      <c r="I112" s="33" t="s">
        <v>776</v>
      </c>
      <c r="J112" s="51" t="e">
        <f>#REF!*Tablo1[[#This Row],[Esans]]</f>
        <v>#REF!</v>
      </c>
      <c r="K112" s="51" t="e">
        <f>#REF!*Tablo1[[#This Row],[Su]]</f>
        <v>#REF!</v>
      </c>
      <c r="L112" s="51" t="e">
        <f>#REF!*Tablo1[[#This Row],[Alkol]]</f>
        <v>#REF!</v>
      </c>
      <c r="M112" s="44"/>
      <c r="N112" s="51">
        <f>(Tablo1[[#This Row],[KALAN ESANS]]/Tablo1[[#This Row],[Esans]]*0.01)*(Tablo1[[#This Row],[Alkol]]*100)</f>
        <v>0</v>
      </c>
      <c r="O112" s="51">
        <f>(Tablo1[[#This Row],[KALAN ESANS]]/Tablo1[[#This Row],[Esans]]*0.01)*(Tablo1[[#This Row],[Su]]*100)</f>
        <v>0</v>
      </c>
      <c r="P112" s="51">
        <f>Tablo1[[#This Row],[KALAN ESANS]]+Tablo1[[#This Row],[ALKOL Mik]]+Tablo1[[#This Row],[SU Mik]]</f>
        <v>0</v>
      </c>
    </row>
    <row r="113" spans="1:16" ht="15" customHeight="1" x14ac:dyDescent="0.2">
      <c r="A113" s="30" t="s">
        <v>168</v>
      </c>
      <c r="B113" s="36"/>
      <c r="C113" s="31">
        <v>0.15</v>
      </c>
      <c r="D113" s="31">
        <v>0</v>
      </c>
      <c r="E113" s="32">
        <f t="shared" si="1"/>
        <v>0.85</v>
      </c>
      <c r="F113" s="33" t="s">
        <v>28</v>
      </c>
      <c r="G113" s="34" t="s">
        <v>768</v>
      </c>
      <c r="H113" s="57" t="e">
        <f>((Tablo1[[#This Row],[Esans Fiyat]]/#REF!*Tablo1[[#This Row],[Esans]]*100)+(#REF!/1000*Tablo1[[#This Row],[Su]]*100)+(#REF!/1000*Tablo1[[#This Row],[Alkol]]*100))*(#REF!/100)+#REF!</f>
        <v>#REF!</v>
      </c>
      <c r="I113" s="33" t="s">
        <v>774</v>
      </c>
      <c r="J113" s="51" t="e">
        <f>#REF!*Tablo1[[#This Row],[Esans]]</f>
        <v>#REF!</v>
      </c>
      <c r="K113" s="51" t="e">
        <f>#REF!*Tablo1[[#This Row],[Su]]</f>
        <v>#REF!</v>
      </c>
      <c r="L113" s="51" t="e">
        <f>#REF!*Tablo1[[#This Row],[Alkol]]</f>
        <v>#REF!</v>
      </c>
      <c r="M113" s="44"/>
      <c r="N113" s="51">
        <f>(Tablo1[[#This Row],[KALAN ESANS]]/Tablo1[[#This Row],[Esans]]*0.01)*(Tablo1[[#This Row],[Alkol]]*100)</f>
        <v>0</v>
      </c>
      <c r="O113" s="51">
        <f>(Tablo1[[#This Row],[KALAN ESANS]]/Tablo1[[#This Row],[Esans]]*0.01)*(Tablo1[[#This Row],[Su]]*100)</f>
        <v>0</v>
      </c>
      <c r="P113" s="51">
        <f>Tablo1[[#This Row],[KALAN ESANS]]+Tablo1[[#This Row],[ALKOL Mik]]+Tablo1[[#This Row],[SU Mik]]</f>
        <v>0</v>
      </c>
    </row>
    <row r="114" spans="1:16" ht="15" customHeight="1" x14ac:dyDescent="0.2">
      <c r="A114" s="30" t="s">
        <v>50</v>
      </c>
      <c r="B114" s="36"/>
      <c r="C114" s="31">
        <v>0.15</v>
      </c>
      <c r="D114" s="31">
        <v>0.02</v>
      </c>
      <c r="E114" s="32">
        <f t="shared" si="1"/>
        <v>0.83</v>
      </c>
      <c r="F114" s="33" t="s">
        <v>28</v>
      </c>
      <c r="G114" s="34" t="s">
        <v>768</v>
      </c>
      <c r="H114" s="57" t="e">
        <f>((Tablo1[[#This Row],[Esans Fiyat]]/#REF!*Tablo1[[#This Row],[Esans]]*100)+(#REF!/1000*Tablo1[[#This Row],[Su]]*100)+(#REF!/1000*Tablo1[[#This Row],[Alkol]]*100))*(#REF!/100)+#REF!</f>
        <v>#REF!</v>
      </c>
      <c r="I114" s="33" t="s">
        <v>776</v>
      </c>
      <c r="J114" s="51" t="e">
        <f>#REF!*Tablo1[[#This Row],[Esans]]</f>
        <v>#REF!</v>
      </c>
      <c r="K114" s="51" t="e">
        <f>#REF!*Tablo1[[#This Row],[Su]]</f>
        <v>#REF!</v>
      </c>
      <c r="L114" s="51" t="e">
        <f>#REF!*Tablo1[[#This Row],[Alkol]]</f>
        <v>#REF!</v>
      </c>
      <c r="M114" s="44"/>
      <c r="N114" s="51">
        <f>(Tablo1[[#This Row],[KALAN ESANS]]/Tablo1[[#This Row],[Esans]]*0.01)*(Tablo1[[#This Row],[Alkol]]*100)</f>
        <v>0</v>
      </c>
      <c r="O114" s="51">
        <f>(Tablo1[[#This Row],[KALAN ESANS]]/Tablo1[[#This Row],[Esans]]*0.01)*(Tablo1[[#This Row],[Su]]*100)</f>
        <v>0</v>
      </c>
      <c r="P114" s="51">
        <f>Tablo1[[#This Row],[KALAN ESANS]]+Tablo1[[#This Row],[ALKOL Mik]]+Tablo1[[#This Row],[SU Mik]]</f>
        <v>0</v>
      </c>
    </row>
    <row r="115" spans="1:16" ht="15" customHeight="1" x14ac:dyDescent="0.2">
      <c r="A115" s="30" t="s">
        <v>166</v>
      </c>
      <c r="B115" s="36"/>
      <c r="C115" s="31">
        <v>0.15</v>
      </c>
      <c r="D115" s="31">
        <v>0.02</v>
      </c>
      <c r="E115" s="32">
        <f t="shared" si="1"/>
        <v>0.83</v>
      </c>
      <c r="F115" s="33" t="s">
        <v>28</v>
      </c>
      <c r="G115" s="34" t="s">
        <v>768</v>
      </c>
      <c r="H115" s="57" t="e">
        <f>((Tablo1[[#This Row],[Esans Fiyat]]/#REF!*Tablo1[[#This Row],[Esans]]*100)+(#REF!/1000*Tablo1[[#This Row],[Su]]*100)+(#REF!/1000*Tablo1[[#This Row],[Alkol]]*100))*(#REF!/100)+#REF!</f>
        <v>#REF!</v>
      </c>
      <c r="I115" s="33" t="s">
        <v>776</v>
      </c>
      <c r="J115" s="51" t="e">
        <f>#REF!*Tablo1[[#This Row],[Esans]]</f>
        <v>#REF!</v>
      </c>
      <c r="K115" s="51" t="e">
        <f>#REF!*Tablo1[[#This Row],[Su]]</f>
        <v>#REF!</v>
      </c>
      <c r="L115" s="51" t="e">
        <f>#REF!*Tablo1[[#This Row],[Alkol]]</f>
        <v>#REF!</v>
      </c>
      <c r="M115" s="44"/>
      <c r="N115" s="51">
        <f>(Tablo1[[#This Row],[KALAN ESANS]]/Tablo1[[#This Row],[Esans]]*0.01)*(Tablo1[[#This Row],[Alkol]]*100)</f>
        <v>0</v>
      </c>
      <c r="O115" s="51">
        <f>(Tablo1[[#This Row],[KALAN ESANS]]/Tablo1[[#This Row],[Esans]]*0.01)*(Tablo1[[#This Row],[Su]]*100)</f>
        <v>0</v>
      </c>
      <c r="P115" s="51">
        <f>Tablo1[[#This Row],[KALAN ESANS]]+Tablo1[[#This Row],[ALKOL Mik]]+Tablo1[[#This Row],[SU Mik]]</f>
        <v>0</v>
      </c>
    </row>
    <row r="116" spans="1:16" ht="15" customHeight="1" x14ac:dyDescent="0.2">
      <c r="A116" s="30" t="s">
        <v>165</v>
      </c>
      <c r="B116" s="36"/>
      <c r="C116" s="31">
        <v>0.15</v>
      </c>
      <c r="D116" s="31">
        <v>0.02</v>
      </c>
      <c r="E116" s="32">
        <f t="shared" si="1"/>
        <v>0.83</v>
      </c>
      <c r="F116" s="33" t="s">
        <v>28</v>
      </c>
      <c r="G116" s="34" t="s">
        <v>768</v>
      </c>
      <c r="H116" s="57" t="e">
        <f>((Tablo1[[#This Row],[Esans Fiyat]]/#REF!*Tablo1[[#This Row],[Esans]]*100)+(#REF!/1000*Tablo1[[#This Row],[Su]]*100)+(#REF!/1000*Tablo1[[#This Row],[Alkol]]*100))*(#REF!/100)+#REF!</f>
        <v>#REF!</v>
      </c>
      <c r="I116" s="33" t="s">
        <v>776</v>
      </c>
      <c r="J116" s="51" t="e">
        <f>#REF!*Tablo1[[#This Row],[Esans]]</f>
        <v>#REF!</v>
      </c>
      <c r="K116" s="51" t="e">
        <f>#REF!*Tablo1[[#This Row],[Su]]</f>
        <v>#REF!</v>
      </c>
      <c r="L116" s="51" t="e">
        <f>#REF!*Tablo1[[#This Row],[Alkol]]</f>
        <v>#REF!</v>
      </c>
      <c r="M116" s="44"/>
      <c r="N116" s="51">
        <f>(Tablo1[[#This Row],[KALAN ESANS]]/Tablo1[[#This Row],[Esans]]*0.01)*(Tablo1[[#This Row],[Alkol]]*100)</f>
        <v>0</v>
      </c>
      <c r="O116" s="51">
        <f>(Tablo1[[#This Row],[KALAN ESANS]]/Tablo1[[#This Row],[Esans]]*0.01)*(Tablo1[[#This Row],[Su]]*100)</f>
        <v>0</v>
      </c>
      <c r="P116" s="51">
        <f>Tablo1[[#This Row],[KALAN ESANS]]+Tablo1[[#This Row],[ALKOL Mik]]+Tablo1[[#This Row],[SU Mik]]</f>
        <v>0</v>
      </c>
    </row>
    <row r="117" spans="1:16" ht="15" customHeight="1" x14ac:dyDescent="0.2">
      <c r="A117" s="30" t="s">
        <v>164</v>
      </c>
      <c r="B117" s="36"/>
      <c r="C117" s="31">
        <v>0.15</v>
      </c>
      <c r="D117" s="31">
        <v>0.02</v>
      </c>
      <c r="E117" s="32">
        <f t="shared" si="1"/>
        <v>0.83</v>
      </c>
      <c r="F117" s="33" t="s">
        <v>28</v>
      </c>
      <c r="G117" s="34" t="s">
        <v>768</v>
      </c>
      <c r="H117" s="57" t="e">
        <f>((Tablo1[[#This Row],[Esans Fiyat]]/#REF!*Tablo1[[#This Row],[Esans]]*100)+(#REF!/1000*Tablo1[[#This Row],[Su]]*100)+(#REF!/1000*Tablo1[[#This Row],[Alkol]]*100))*(#REF!/100)+#REF!</f>
        <v>#REF!</v>
      </c>
      <c r="I117" s="33" t="s">
        <v>776</v>
      </c>
      <c r="J117" s="51" t="e">
        <f>#REF!*Tablo1[[#This Row],[Esans]]</f>
        <v>#REF!</v>
      </c>
      <c r="K117" s="51" t="e">
        <f>#REF!*Tablo1[[#This Row],[Su]]</f>
        <v>#REF!</v>
      </c>
      <c r="L117" s="51" t="e">
        <f>#REF!*Tablo1[[#This Row],[Alkol]]</f>
        <v>#REF!</v>
      </c>
      <c r="M117" s="44"/>
      <c r="N117" s="51">
        <f>(Tablo1[[#This Row],[KALAN ESANS]]/Tablo1[[#This Row],[Esans]]*0.01)*(Tablo1[[#This Row],[Alkol]]*100)</f>
        <v>0</v>
      </c>
      <c r="O117" s="51">
        <f>(Tablo1[[#This Row],[KALAN ESANS]]/Tablo1[[#This Row],[Esans]]*0.01)*(Tablo1[[#This Row],[Su]]*100)</f>
        <v>0</v>
      </c>
      <c r="P117" s="51">
        <f>Tablo1[[#This Row],[KALAN ESANS]]+Tablo1[[#This Row],[ALKOL Mik]]+Tablo1[[#This Row],[SU Mik]]</f>
        <v>0</v>
      </c>
    </row>
    <row r="118" spans="1:16" ht="15" customHeight="1" x14ac:dyDescent="0.2">
      <c r="A118" s="30" t="s">
        <v>46</v>
      </c>
      <c r="B118" s="36"/>
      <c r="C118" s="31">
        <v>0.15</v>
      </c>
      <c r="D118" s="31">
        <v>0.02</v>
      </c>
      <c r="E118" s="32">
        <f t="shared" si="1"/>
        <v>0.83</v>
      </c>
      <c r="F118" s="33" t="s">
        <v>28</v>
      </c>
      <c r="G118" s="34" t="s">
        <v>768</v>
      </c>
      <c r="H118" s="57" t="e">
        <f>((Tablo1[[#This Row],[Esans Fiyat]]/#REF!*Tablo1[[#This Row],[Esans]]*100)+(#REF!/1000*Tablo1[[#This Row],[Su]]*100)+(#REF!/1000*Tablo1[[#This Row],[Alkol]]*100))*(#REF!/100)+#REF!</f>
        <v>#REF!</v>
      </c>
      <c r="I118" s="33" t="s">
        <v>776</v>
      </c>
      <c r="J118" s="51" t="e">
        <f>#REF!*Tablo1[[#This Row],[Esans]]</f>
        <v>#REF!</v>
      </c>
      <c r="K118" s="51" t="e">
        <f>#REF!*Tablo1[[#This Row],[Su]]</f>
        <v>#REF!</v>
      </c>
      <c r="L118" s="51" t="e">
        <f>#REF!*Tablo1[[#This Row],[Alkol]]</f>
        <v>#REF!</v>
      </c>
      <c r="M118" s="44"/>
      <c r="N118" s="51">
        <f>(Tablo1[[#This Row],[KALAN ESANS]]/Tablo1[[#This Row],[Esans]]*0.01)*(Tablo1[[#This Row],[Alkol]]*100)</f>
        <v>0</v>
      </c>
      <c r="O118" s="51">
        <f>(Tablo1[[#This Row],[KALAN ESANS]]/Tablo1[[#This Row],[Esans]]*0.01)*(Tablo1[[#This Row],[Su]]*100)</f>
        <v>0</v>
      </c>
      <c r="P118" s="51">
        <f>Tablo1[[#This Row],[KALAN ESANS]]+Tablo1[[#This Row],[ALKOL Mik]]+Tablo1[[#This Row],[SU Mik]]</f>
        <v>0</v>
      </c>
    </row>
    <row r="119" spans="1:16" ht="15" customHeight="1" x14ac:dyDescent="0.2">
      <c r="A119" s="30" t="s">
        <v>162</v>
      </c>
      <c r="B119" s="36"/>
      <c r="C119" s="31">
        <v>0.15</v>
      </c>
      <c r="D119" s="31">
        <v>0.02</v>
      </c>
      <c r="E119" s="32">
        <f t="shared" si="1"/>
        <v>0.83</v>
      </c>
      <c r="F119" s="33" t="s">
        <v>28</v>
      </c>
      <c r="G119" s="34" t="s">
        <v>768</v>
      </c>
      <c r="H119" s="57" t="e">
        <f>((Tablo1[[#This Row],[Esans Fiyat]]/#REF!*Tablo1[[#This Row],[Esans]]*100)+(#REF!/1000*Tablo1[[#This Row],[Su]]*100)+(#REF!/1000*Tablo1[[#This Row],[Alkol]]*100))*(#REF!/100)+#REF!</f>
        <v>#REF!</v>
      </c>
      <c r="I119" s="33" t="s">
        <v>776</v>
      </c>
      <c r="J119" s="51" t="e">
        <f>#REF!*Tablo1[[#This Row],[Esans]]</f>
        <v>#REF!</v>
      </c>
      <c r="K119" s="51" t="e">
        <f>#REF!*Tablo1[[#This Row],[Su]]</f>
        <v>#REF!</v>
      </c>
      <c r="L119" s="51" t="e">
        <f>#REF!*Tablo1[[#This Row],[Alkol]]</f>
        <v>#REF!</v>
      </c>
      <c r="M119" s="44"/>
      <c r="N119" s="51">
        <f>(Tablo1[[#This Row],[KALAN ESANS]]/Tablo1[[#This Row],[Esans]]*0.01)*(Tablo1[[#This Row],[Alkol]]*100)</f>
        <v>0</v>
      </c>
      <c r="O119" s="51">
        <f>(Tablo1[[#This Row],[KALAN ESANS]]/Tablo1[[#This Row],[Esans]]*0.01)*(Tablo1[[#This Row],[Su]]*100)</f>
        <v>0</v>
      </c>
      <c r="P119" s="51">
        <f>Tablo1[[#This Row],[KALAN ESANS]]+Tablo1[[#This Row],[ALKOL Mik]]+Tablo1[[#This Row],[SU Mik]]</f>
        <v>0</v>
      </c>
    </row>
    <row r="120" spans="1:16" ht="15" customHeight="1" x14ac:dyDescent="0.2">
      <c r="A120" s="30" t="s">
        <v>161</v>
      </c>
      <c r="B120" s="36"/>
      <c r="C120" s="31">
        <v>0.15</v>
      </c>
      <c r="D120" s="31">
        <v>0.02</v>
      </c>
      <c r="E120" s="32">
        <f t="shared" si="1"/>
        <v>0.83</v>
      </c>
      <c r="F120" s="33" t="s">
        <v>28</v>
      </c>
      <c r="G120" s="34" t="s">
        <v>768</v>
      </c>
      <c r="H120" s="57" t="e">
        <f>((Tablo1[[#This Row],[Esans Fiyat]]/#REF!*Tablo1[[#This Row],[Esans]]*100)+(#REF!/1000*Tablo1[[#This Row],[Su]]*100)+(#REF!/1000*Tablo1[[#This Row],[Alkol]]*100))*(#REF!/100)+#REF!</f>
        <v>#REF!</v>
      </c>
      <c r="I120" s="33" t="s">
        <v>776</v>
      </c>
      <c r="J120" s="51" t="e">
        <f>#REF!*Tablo1[[#This Row],[Esans]]</f>
        <v>#REF!</v>
      </c>
      <c r="K120" s="51" t="e">
        <f>#REF!*Tablo1[[#This Row],[Su]]</f>
        <v>#REF!</v>
      </c>
      <c r="L120" s="51" t="e">
        <f>#REF!*Tablo1[[#This Row],[Alkol]]</f>
        <v>#REF!</v>
      </c>
      <c r="M120" s="44"/>
      <c r="N120" s="51">
        <f>(Tablo1[[#This Row],[KALAN ESANS]]/Tablo1[[#This Row],[Esans]]*0.01)*(Tablo1[[#This Row],[Alkol]]*100)</f>
        <v>0</v>
      </c>
      <c r="O120" s="51">
        <f>(Tablo1[[#This Row],[KALAN ESANS]]/Tablo1[[#This Row],[Esans]]*0.01)*(Tablo1[[#This Row],[Su]]*100)</f>
        <v>0</v>
      </c>
      <c r="P120" s="51">
        <f>Tablo1[[#This Row],[KALAN ESANS]]+Tablo1[[#This Row],[ALKOL Mik]]+Tablo1[[#This Row],[SU Mik]]</f>
        <v>0</v>
      </c>
    </row>
    <row r="121" spans="1:16" ht="15" customHeight="1" x14ac:dyDescent="0.2">
      <c r="A121" s="30" t="s">
        <v>155</v>
      </c>
      <c r="B121" s="36"/>
      <c r="C121" s="31">
        <v>0.15</v>
      </c>
      <c r="D121" s="31">
        <v>0.02</v>
      </c>
      <c r="E121" s="32">
        <f t="shared" si="1"/>
        <v>0.83</v>
      </c>
      <c r="F121" s="33" t="s">
        <v>28</v>
      </c>
      <c r="G121" s="34" t="s">
        <v>768</v>
      </c>
      <c r="H121" s="57" t="e">
        <f>((Tablo1[[#This Row],[Esans Fiyat]]/#REF!*Tablo1[[#This Row],[Esans]]*100)+(#REF!/1000*Tablo1[[#This Row],[Su]]*100)+(#REF!/1000*Tablo1[[#This Row],[Alkol]]*100))*(#REF!/100)+#REF!</f>
        <v>#REF!</v>
      </c>
      <c r="I121" s="33" t="s">
        <v>776</v>
      </c>
      <c r="J121" s="51" t="e">
        <f>#REF!*Tablo1[[#This Row],[Esans]]</f>
        <v>#REF!</v>
      </c>
      <c r="K121" s="51" t="e">
        <f>#REF!*Tablo1[[#This Row],[Su]]</f>
        <v>#REF!</v>
      </c>
      <c r="L121" s="51" t="e">
        <f>#REF!*Tablo1[[#This Row],[Alkol]]</f>
        <v>#REF!</v>
      </c>
      <c r="M121" s="44"/>
      <c r="N121" s="51">
        <f>(Tablo1[[#This Row],[KALAN ESANS]]/Tablo1[[#This Row],[Esans]]*0.01)*(Tablo1[[#This Row],[Alkol]]*100)</f>
        <v>0</v>
      </c>
      <c r="O121" s="51">
        <f>(Tablo1[[#This Row],[KALAN ESANS]]/Tablo1[[#This Row],[Esans]]*0.01)*(Tablo1[[#This Row],[Su]]*100)</f>
        <v>0</v>
      </c>
      <c r="P121" s="51">
        <f>Tablo1[[#This Row],[KALAN ESANS]]+Tablo1[[#This Row],[ALKOL Mik]]+Tablo1[[#This Row],[SU Mik]]</f>
        <v>0</v>
      </c>
    </row>
    <row r="122" spans="1:16" ht="15" customHeight="1" x14ac:dyDescent="0.2">
      <c r="A122" s="30" t="s">
        <v>163</v>
      </c>
      <c r="B122" s="36"/>
      <c r="C122" s="31">
        <v>0.2</v>
      </c>
      <c r="D122" s="31">
        <v>0</v>
      </c>
      <c r="E122" s="32">
        <f t="shared" si="1"/>
        <v>0.8</v>
      </c>
      <c r="F122" s="33" t="s">
        <v>25</v>
      </c>
      <c r="G122" s="34" t="s">
        <v>768</v>
      </c>
      <c r="H122" s="57" t="e">
        <f>((Tablo1[[#This Row],[Esans Fiyat]]/#REF!*Tablo1[[#This Row],[Esans]]*100)+(#REF!/1000*Tablo1[[#This Row],[Su]]*100)+(#REF!/1000*Tablo1[[#This Row],[Alkol]]*100))*(#REF!/100)+#REF!</f>
        <v>#REF!</v>
      </c>
      <c r="I122" s="33" t="s">
        <v>776</v>
      </c>
      <c r="J122" s="51" t="e">
        <f>#REF!*Tablo1[[#This Row],[Esans]]</f>
        <v>#REF!</v>
      </c>
      <c r="K122" s="51" t="e">
        <f>#REF!*Tablo1[[#This Row],[Su]]</f>
        <v>#REF!</v>
      </c>
      <c r="L122" s="51" t="e">
        <f>#REF!*Tablo1[[#This Row],[Alkol]]</f>
        <v>#REF!</v>
      </c>
      <c r="M122" s="44"/>
      <c r="N122" s="51">
        <f>(Tablo1[[#This Row],[KALAN ESANS]]/Tablo1[[#This Row],[Esans]]*0.01)*(Tablo1[[#This Row],[Alkol]]*100)</f>
        <v>0</v>
      </c>
      <c r="O122" s="51">
        <f>(Tablo1[[#This Row],[KALAN ESANS]]/Tablo1[[#This Row],[Esans]]*0.01)*(Tablo1[[#This Row],[Su]]*100)</f>
        <v>0</v>
      </c>
      <c r="P122" s="51">
        <f>Tablo1[[#This Row],[KALAN ESANS]]+Tablo1[[#This Row],[ALKOL Mik]]+Tablo1[[#This Row],[SU Mik]]</f>
        <v>0</v>
      </c>
    </row>
    <row r="123" spans="1:16" ht="15" customHeight="1" x14ac:dyDescent="0.2">
      <c r="A123" s="30" t="s">
        <v>157</v>
      </c>
      <c r="B123" s="36"/>
      <c r="C123" s="31">
        <v>0.2</v>
      </c>
      <c r="D123" s="31">
        <v>0</v>
      </c>
      <c r="E123" s="32">
        <f t="shared" si="1"/>
        <v>0.8</v>
      </c>
      <c r="F123" s="33" t="s">
        <v>25</v>
      </c>
      <c r="G123" s="34" t="s">
        <v>768</v>
      </c>
      <c r="H123" s="57" t="e">
        <f>((Tablo1[[#This Row],[Esans Fiyat]]/#REF!*Tablo1[[#This Row],[Esans]]*100)+(#REF!/1000*Tablo1[[#This Row],[Su]]*100)+(#REF!/1000*Tablo1[[#This Row],[Alkol]]*100))*(#REF!/100)+#REF!</f>
        <v>#REF!</v>
      </c>
      <c r="I123" s="33" t="s">
        <v>776</v>
      </c>
      <c r="J123" s="51" t="e">
        <f>#REF!*Tablo1[[#This Row],[Esans]]</f>
        <v>#REF!</v>
      </c>
      <c r="K123" s="51" t="e">
        <f>#REF!*Tablo1[[#This Row],[Su]]</f>
        <v>#REF!</v>
      </c>
      <c r="L123" s="51" t="e">
        <f>#REF!*Tablo1[[#This Row],[Alkol]]</f>
        <v>#REF!</v>
      </c>
      <c r="M123" s="44"/>
      <c r="N123" s="51">
        <f>(Tablo1[[#This Row],[KALAN ESANS]]/Tablo1[[#This Row],[Esans]]*0.01)*(Tablo1[[#This Row],[Alkol]]*100)</f>
        <v>0</v>
      </c>
      <c r="O123" s="51">
        <f>(Tablo1[[#This Row],[KALAN ESANS]]/Tablo1[[#This Row],[Esans]]*0.01)*(Tablo1[[#This Row],[Su]]*100)</f>
        <v>0</v>
      </c>
      <c r="P123" s="51">
        <f>Tablo1[[#This Row],[KALAN ESANS]]+Tablo1[[#This Row],[ALKOL Mik]]+Tablo1[[#This Row],[SU Mik]]</f>
        <v>0</v>
      </c>
    </row>
    <row r="124" spans="1:16" ht="15" customHeight="1" x14ac:dyDescent="0.2">
      <c r="A124" s="30" t="s">
        <v>159</v>
      </c>
      <c r="B124" s="36"/>
      <c r="C124" s="31">
        <v>0.15</v>
      </c>
      <c r="D124" s="31">
        <v>0.02</v>
      </c>
      <c r="E124" s="32">
        <f t="shared" si="1"/>
        <v>0.83</v>
      </c>
      <c r="F124" s="33" t="s">
        <v>28</v>
      </c>
      <c r="G124" s="34" t="s">
        <v>768</v>
      </c>
      <c r="H124" s="57" t="e">
        <f>((Tablo1[[#This Row],[Esans Fiyat]]/#REF!*Tablo1[[#This Row],[Esans]]*100)+(#REF!/1000*Tablo1[[#This Row],[Su]]*100)+(#REF!/1000*Tablo1[[#This Row],[Alkol]]*100))*(#REF!/100)+#REF!</f>
        <v>#REF!</v>
      </c>
      <c r="I124" s="33" t="s">
        <v>776</v>
      </c>
      <c r="J124" s="51" t="e">
        <f>#REF!*Tablo1[[#This Row],[Esans]]</f>
        <v>#REF!</v>
      </c>
      <c r="K124" s="51" t="e">
        <f>#REF!*Tablo1[[#This Row],[Su]]</f>
        <v>#REF!</v>
      </c>
      <c r="L124" s="51" t="e">
        <f>#REF!*Tablo1[[#This Row],[Alkol]]</f>
        <v>#REF!</v>
      </c>
      <c r="M124" s="44"/>
      <c r="N124" s="51">
        <f>(Tablo1[[#This Row],[KALAN ESANS]]/Tablo1[[#This Row],[Esans]]*0.01)*(Tablo1[[#This Row],[Alkol]]*100)</f>
        <v>0</v>
      </c>
      <c r="O124" s="51">
        <f>(Tablo1[[#This Row],[KALAN ESANS]]/Tablo1[[#This Row],[Esans]]*0.01)*(Tablo1[[#This Row],[Su]]*100)</f>
        <v>0</v>
      </c>
      <c r="P124" s="51">
        <f>Tablo1[[#This Row],[KALAN ESANS]]+Tablo1[[#This Row],[ALKOL Mik]]+Tablo1[[#This Row],[SU Mik]]</f>
        <v>0</v>
      </c>
    </row>
    <row r="125" spans="1:16" ht="15" customHeight="1" x14ac:dyDescent="0.2">
      <c r="A125" s="30" t="s">
        <v>156</v>
      </c>
      <c r="B125" s="36"/>
      <c r="C125" s="31">
        <v>0.2</v>
      </c>
      <c r="D125" s="31">
        <v>0.02</v>
      </c>
      <c r="E125" s="32">
        <f t="shared" si="1"/>
        <v>0.78</v>
      </c>
      <c r="F125" s="33" t="s">
        <v>25</v>
      </c>
      <c r="G125" s="34" t="s">
        <v>768</v>
      </c>
      <c r="H125" s="57" t="e">
        <f>((Tablo1[[#This Row],[Esans Fiyat]]/#REF!*Tablo1[[#This Row],[Esans]]*100)+(#REF!/1000*Tablo1[[#This Row],[Su]]*100)+(#REF!/1000*Tablo1[[#This Row],[Alkol]]*100))*(#REF!/100)+#REF!</f>
        <v>#REF!</v>
      </c>
      <c r="I125" s="33" t="s">
        <v>774</v>
      </c>
      <c r="J125" s="51" t="e">
        <f>#REF!*Tablo1[[#This Row],[Esans]]</f>
        <v>#REF!</v>
      </c>
      <c r="K125" s="51" t="e">
        <f>#REF!*Tablo1[[#This Row],[Su]]</f>
        <v>#REF!</v>
      </c>
      <c r="L125" s="51" t="e">
        <f>#REF!*Tablo1[[#This Row],[Alkol]]</f>
        <v>#REF!</v>
      </c>
      <c r="M125" s="44"/>
      <c r="N125" s="51">
        <f>(Tablo1[[#This Row],[KALAN ESANS]]/Tablo1[[#This Row],[Esans]]*0.01)*(Tablo1[[#This Row],[Alkol]]*100)</f>
        <v>0</v>
      </c>
      <c r="O125" s="51">
        <f>(Tablo1[[#This Row],[KALAN ESANS]]/Tablo1[[#This Row],[Esans]]*0.01)*(Tablo1[[#This Row],[Su]]*100)</f>
        <v>0</v>
      </c>
      <c r="P125" s="51">
        <f>Tablo1[[#This Row],[KALAN ESANS]]+Tablo1[[#This Row],[ALKOL Mik]]+Tablo1[[#This Row],[SU Mik]]</f>
        <v>0</v>
      </c>
    </row>
    <row r="126" spans="1:16" ht="15" customHeight="1" x14ac:dyDescent="0.2">
      <c r="A126" s="30" t="s">
        <v>158</v>
      </c>
      <c r="B126" s="36"/>
      <c r="C126" s="31">
        <v>0.2</v>
      </c>
      <c r="D126" s="31">
        <v>0.02</v>
      </c>
      <c r="E126" s="32">
        <f t="shared" si="1"/>
        <v>0.78</v>
      </c>
      <c r="F126" s="33" t="s">
        <v>25</v>
      </c>
      <c r="G126" s="34" t="s">
        <v>768</v>
      </c>
      <c r="H126" s="57" t="e">
        <f>((Tablo1[[#This Row],[Esans Fiyat]]/#REF!*Tablo1[[#This Row],[Esans]]*100)+(#REF!/1000*Tablo1[[#This Row],[Su]]*100)+(#REF!/1000*Tablo1[[#This Row],[Alkol]]*100))*(#REF!/100)+#REF!</f>
        <v>#REF!</v>
      </c>
      <c r="I126" s="33" t="s">
        <v>774</v>
      </c>
      <c r="J126" s="51" t="e">
        <f>#REF!*Tablo1[[#This Row],[Esans]]</f>
        <v>#REF!</v>
      </c>
      <c r="K126" s="51" t="e">
        <f>#REF!*Tablo1[[#This Row],[Su]]</f>
        <v>#REF!</v>
      </c>
      <c r="L126" s="51" t="e">
        <f>#REF!*Tablo1[[#This Row],[Alkol]]</f>
        <v>#REF!</v>
      </c>
      <c r="M126" s="44"/>
      <c r="N126" s="51">
        <f>(Tablo1[[#This Row],[KALAN ESANS]]/Tablo1[[#This Row],[Esans]]*0.01)*(Tablo1[[#This Row],[Alkol]]*100)</f>
        <v>0</v>
      </c>
      <c r="O126" s="51">
        <f>(Tablo1[[#This Row],[KALAN ESANS]]/Tablo1[[#This Row],[Esans]]*0.01)*(Tablo1[[#This Row],[Su]]*100)</f>
        <v>0</v>
      </c>
      <c r="P126" s="51">
        <f>Tablo1[[#This Row],[KALAN ESANS]]+Tablo1[[#This Row],[ALKOL Mik]]+Tablo1[[#This Row],[SU Mik]]</f>
        <v>0</v>
      </c>
    </row>
    <row r="127" spans="1:16" ht="15" customHeight="1" x14ac:dyDescent="0.2">
      <c r="A127" s="30" t="s">
        <v>160</v>
      </c>
      <c r="B127" s="36"/>
      <c r="C127" s="31">
        <v>0.15</v>
      </c>
      <c r="D127" s="31">
        <v>0.02</v>
      </c>
      <c r="E127" s="32">
        <f t="shared" si="1"/>
        <v>0.83</v>
      </c>
      <c r="F127" s="33" t="s">
        <v>28</v>
      </c>
      <c r="G127" s="34" t="s">
        <v>768</v>
      </c>
      <c r="H127" s="57" t="e">
        <f>((Tablo1[[#This Row],[Esans Fiyat]]/#REF!*Tablo1[[#This Row],[Esans]]*100)+(#REF!/1000*Tablo1[[#This Row],[Su]]*100)+(#REF!/1000*Tablo1[[#This Row],[Alkol]]*100))*(#REF!/100)+#REF!</f>
        <v>#REF!</v>
      </c>
      <c r="I127" s="33" t="s">
        <v>776</v>
      </c>
      <c r="J127" s="51" t="e">
        <f>#REF!*Tablo1[[#This Row],[Esans]]</f>
        <v>#REF!</v>
      </c>
      <c r="K127" s="51" t="e">
        <f>#REF!*Tablo1[[#This Row],[Su]]</f>
        <v>#REF!</v>
      </c>
      <c r="L127" s="51" t="e">
        <f>#REF!*Tablo1[[#This Row],[Alkol]]</f>
        <v>#REF!</v>
      </c>
      <c r="M127" s="44"/>
      <c r="N127" s="51">
        <f>(Tablo1[[#This Row],[KALAN ESANS]]/Tablo1[[#This Row],[Esans]]*0.01)*(Tablo1[[#This Row],[Alkol]]*100)</f>
        <v>0</v>
      </c>
      <c r="O127" s="51">
        <f>(Tablo1[[#This Row],[KALAN ESANS]]/Tablo1[[#This Row],[Esans]]*0.01)*(Tablo1[[#This Row],[Su]]*100)</f>
        <v>0</v>
      </c>
      <c r="P127" s="51">
        <f>Tablo1[[#This Row],[KALAN ESANS]]+Tablo1[[#This Row],[ALKOL Mik]]+Tablo1[[#This Row],[SU Mik]]</f>
        <v>0</v>
      </c>
    </row>
    <row r="128" spans="1:16" ht="15" customHeight="1" x14ac:dyDescent="0.2">
      <c r="A128" s="30" t="s">
        <v>154</v>
      </c>
      <c r="B128" s="36"/>
      <c r="C128" s="31">
        <v>0.2</v>
      </c>
      <c r="D128" s="31">
        <v>0.02</v>
      </c>
      <c r="E128" s="32">
        <f t="shared" si="1"/>
        <v>0.78</v>
      </c>
      <c r="F128" s="33" t="s">
        <v>25</v>
      </c>
      <c r="G128" s="34" t="s">
        <v>768</v>
      </c>
      <c r="H128" s="57" t="e">
        <f>((Tablo1[[#This Row],[Esans Fiyat]]/#REF!*Tablo1[[#This Row],[Esans]]*100)+(#REF!/1000*Tablo1[[#This Row],[Su]]*100)+(#REF!/1000*Tablo1[[#This Row],[Alkol]]*100))*(#REF!/100)+#REF!</f>
        <v>#REF!</v>
      </c>
      <c r="I128" s="33" t="s">
        <v>776</v>
      </c>
      <c r="J128" s="51" t="e">
        <f>#REF!*Tablo1[[#This Row],[Esans]]</f>
        <v>#REF!</v>
      </c>
      <c r="K128" s="51" t="e">
        <f>#REF!*Tablo1[[#This Row],[Su]]</f>
        <v>#REF!</v>
      </c>
      <c r="L128" s="51" t="e">
        <f>#REF!*Tablo1[[#This Row],[Alkol]]</f>
        <v>#REF!</v>
      </c>
      <c r="M128" s="44"/>
      <c r="N128" s="51">
        <f>(Tablo1[[#This Row],[KALAN ESANS]]/Tablo1[[#This Row],[Esans]]*0.01)*(Tablo1[[#This Row],[Alkol]]*100)</f>
        <v>0</v>
      </c>
      <c r="O128" s="51">
        <f>(Tablo1[[#This Row],[KALAN ESANS]]/Tablo1[[#This Row],[Esans]]*0.01)*(Tablo1[[#This Row],[Su]]*100)</f>
        <v>0</v>
      </c>
      <c r="P128" s="51">
        <f>Tablo1[[#This Row],[KALAN ESANS]]+Tablo1[[#This Row],[ALKOL Mik]]+Tablo1[[#This Row],[SU Mik]]</f>
        <v>0</v>
      </c>
    </row>
    <row r="129" spans="1:16" ht="15" customHeight="1" x14ac:dyDescent="0.2">
      <c r="A129" s="30" t="s">
        <v>151</v>
      </c>
      <c r="B129" s="36"/>
      <c r="C129" s="31">
        <v>0.2</v>
      </c>
      <c r="D129" s="31">
        <v>0.02</v>
      </c>
      <c r="E129" s="32">
        <f t="shared" si="1"/>
        <v>0.78</v>
      </c>
      <c r="F129" s="33" t="s">
        <v>25</v>
      </c>
      <c r="G129" s="34" t="s">
        <v>768</v>
      </c>
      <c r="H129" s="57" t="e">
        <f>((Tablo1[[#This Row],[Esans Fiyat]]/#REF!*Tablo1[[#This Row],[Esans]]*100)+(#REF!/1000*Tablo1[[#This Row],[Su]]*100)+(#REF!/1000*Tablo1[[#This Row],[Alkol]]*100))*(#REF!/100)+#REF!</f>
        <v>#REF!</v>
      </c>
      <c r="I129" s="33" t="s">
        <v>776</v>
      </c>
      <c r="J129" s="51" t="e">
        <f>#REF!*Tablo1[[#This Row],[Esans]]</f>
        <v>#REF!</v>
      </c>
      <c r="K129" s="51" t="e">
        <f>#REF!*Tablo1[[#This Row],[Su]]</f>
        <v>#REF!</v>
      </c>
      <c r="L129" s="51" t="e">
        <f>#REF!*Tablo1[[#This Row],[Alkol]]</f>
        <v>#REF!</v>
      </c>
      <c r="M129" s="44"/>
      <c r="N129" s="51">
        <f>(Tablo1[[#This Row],[KALAN ESANS]]/Tablo1[[#This Row],[Esans]]*0.01)*(Tablo1[[#This Row],[Alkol]]*100)</f>
        <v>0</v>
      </c>
      <c r="O129" s="51">
        <f>(Tablo1[[#This Row],[KALAN ESANS]]/Tablo1[[#This Row],[Esans]]*0.01)*(Tablo1[[#This Row],[Su]]*100)</f>
        <v>0</v>
      </c>
      <c r="P129" s="51">
        <f>Tablo1[[#This Row],[KALAN ESANS]]+Tablo1[[#This Row],[ALKOL Mik]]+Tablo1[[#This Row],[SU Mik]]</f>
        <v>0</v>
      </c>
    </row>
    <row r="130" spans="1:16" ht="15" customHeight="1" x14ac:dyDescent="0.2">
      <c r="A130" s="30" t="s">
        <v>153</v>
      </c>
      <c r="B130" s="36"/>
      <c r="C130" s="31">
        <v>0.2</v>
      </c>
      <c r="D130" s="31">
        <v>0</v>
      </c>
      <c r="E130" s="32">
        <f t="shared" si="1"/>
        <v>0.8</v>
      </c>
      <c r="F130" s="33" t="s">
        <v>25</v>
      </c>
      <c r="G130" s="34" t="s">
        <v>768</v>
      </c>
      <c r="H130" s="57" t="e">
        <f>((Tablo1[[#This Row],[Esans Fiyat]]/#REF!*Tablo1[[#This Row],[Esans]]*100)+(#REF!/1000*Tablo1[[#This Row],[Su]]*100)+(#REF!/1000*Tablo1[[#This Row],[Alkol]]*100))*(#REF!/100)+#REF!</f>
        <v>#REF!</v>
      </c>
      <c r="I130" s="33" t="s">
        <v>776</v>
      </c>
      <c r="J130" s="51" t="e">
        <f>#REF!*Tablo1[[#This Row],[Esans]]</f>
        <v>#REF!</v>
      </c>
      <c r="K130" s="51" t="e">
        <f>#REF!*Tablo1[[#This Row],[Su]]</f>
        <v>#REF!</v>
      </c>
      <c r="L130" s="51" t="e">
        <f>#REF!*Tablo1[[#This Row],[Alkol]]</f>
        <v>#REF!</v>
      </c>
      <c r="M130" s="44"/>
      <c r="N130" s="51">
        <f>(Tablo1[[#This Row],[KALAN ESANS]]/Tablo1[[#This Row],[Esans]]*0.01)*(Tablo1[[#This Row],[Alkol]]*100)</f>
        <v>0</v>
      </c>
      <c r="O130" s="51">
        <f>(Tablo1[[#This Row],[KALAN ESANS]]/Tablo1[[#This Row],[Esans]]*0.01)*(Tablo1[[#This Row],[Su]]*100)</f>
        <v>0</v>
      </c>
      <c r="P130" s="51">
        <f>Tablo1[[#This Row],[KALAN ESANS]]+Tablo1[[#This Row],[ALKOL Mik]]+Tablo1[[#This Row],[SU Mik]]</f>
        <v>0</v>
      </c>
    </row>
    <row r="131" spans="1:16" ht="15" customHeight="1" x14ac:dyDescent="0.2">
      <c r="A131" s="30" t="s">
        <v>152</v>
      </c>
      <c r="B131" s="36"/>
      <c r="C131" s="31">
        <v>0.2</v>
      </c>
      <c r="D131" s="31">
        <v>0</v>
      </c>
      <c r="E131" s="32">
        <f t="shared" si="1"/>
        <v>0.8</v>
      </c>
      <c r="F131" s="33" t="s">
        <v>25</v>
      </c>
      <c r="G131" s="34" t="s">
        <v>768</v>
      </c>
      <c r="H131" s="57" t="e">
        <f>((Tablo1[[#This Row],[Esans Fiyat]]/#REF!*Tablo1[[#This Row],[Esans]]*100)+(#REF!/1000*Tablo1[[#This Row],[Su]]*100)+(#REF!/1000*Tablo1[[#This Row],[Alkol]]*100))*(#REF!/100)+#REF!</f>
        <v>#REF!</v>
      </c>
      <c r="I131" s="33" t="s">
        <v>776</v>
      </c>
      <c r="J131" s="51" t="e">
        <f>#REF!*Tablo1[[#This Row],[Esans]]</f>
        <v>#REF!</v>
      </c>
      <c r="K131" s="51" t="e">
        <f>#REF!*Tablo1[[#This Row],[Su]]</f>
        <v>#REF!</v>
      </c>
      <c r="L131" s="51" t="e">
        <f>#REF!*Tablo1[[#This Row],[Alkol]]</f>
        <v>#REF!</v>
      </c>
      <c r="M131" s="44"/>
      <c r="N131" s="51">
        <f>(Tablo1[[#This Row],[KALAN ESANS]]/Tablo1[[#This Row],[Esans]]*0.01)*(Tablo1[[#This Row],[Alkol]]*100)</f>
        <v>0</v>
      </c>
      <c r="O131" s="51">
        <f>(Tablo1[[#This Row],[KALAN ESANS]]/Tablo1[[#This Row],[Esans]]*0.01)*(Tablo1[[#This Row],[Su]]*100)</f>
        <v>0</v>
      </c>
      <c r="P131" s="51">
        <f>Tablo1[[#This Row],[KALAN ESANS]]+Tablo1[[#This Row],[ALKOL Mik]]+Tablo1[[#This Row],[SU Mik]]</f>
        <v>0</v>
      </c>
    </row>
    <row r="132" spans="1:16" ht="15" customHeight="1" x14ac:dyDescent="0.2">
      <c r="A132" s="30" t="s">
        <v>149</v>
      </c>
      <c r="B132" s="36"/>
      <c r="C132" s="31">
        <v>0.15</v>
      </c>
      <c r="D132" s="31">
        <v>0.02</v>
      </c>
      <c r="E132" s="32">
        <f t="shared" ref="E132:E195" si="2">1-D132-C132</f>
        <v>0.83</v>
      </c>
      <c r="F132" s="33" t="s">
        <v>25</v>
      </c>
      <c r="G132" s="34" t="s">
        <v>768</v>
      </c>
      <c r="H132" s="57" t="e">
        <f>((Tablo1[[#This Row],[Esans Fiyat]]/#REF!*Tablo1[[#This Row],[Esans]]*100)+(#REF!/1000*Tablo1[[#This Row],[Su]]*100)+(#REF!/1000*Tablo1[[#This Row],[Alkol]]*100))*(#REF!/100)+#REF!</f>
        <v>#REF!</v>
      </c>
      <c r="I132" s="33" t="s">
        <v>772</v>
      </c>
      <c r="J132" s="51" t="e">
        <f>#REF!*Tablo1[[#This Row],[Esans]]</f>
        <v>#REF!</v>
      </c>
      <c r="K132" s="51" t="e">
        <f>#REF!*Tablo1[[#This Row],[Su]]</f>
        <v>#REF!</v>
      </c>
      <c r="L132" s="51" t="e">
        <f>#REF!*Tablo1[[#This Row],[Alkol]]</f>
        <v>#REF!</v>
      </c>
      <c r="M132" s="44"/>
      <c r="N132" s="51">
        <f>(Tablo1[[#This Row],[KALAN ESANS]]/Tablo1[[#This Row],[Esans]]*0.01)*(Tablo1[[#This Row],[Alkol]]*100)</f>
        <v>0</v>
      </c>
      <c r="O132" s="51">
        <f>(Tablo1[[#This Row],[KALAN ESANS]]/Tablo1[[#This Row],[Esans]]*0.01)*(Tablo1[[#This Row],[Su]]*100)</f>
        <v>0</v>
      </c>
      <c r="P132" s="51">
        <f>Tablo1[[#This Row],[KALAN ESANS]]+Tablo1[[#This Row],[ALKOL Mik]]+Tablo1[[#This Row],[SU Mik]]</f>
        <v>0</v>
      </c>
    </row>
    <row r="133" spans="1:16" ht="15" customHeight="1" x14ac:dyDescent="0.2">
      <c r="A133" s="30" t="s">
        <v>150</v>
      </c>
      <c r="B133" s="36"/>
      <c r="C133" s="31">
        <v>0.2</v>
      </c>
      <c r="D133" s="31">
        <v>0.02</v>
      </c>
      <c r="E133" s="32">
        <f t="shared" si="2"/>
        <v>0.78</v>
      </c>
      <c r="F133" s="33" t="s">
        <v>25</v>
      </c>
      <c r="G133" s="34" t="s">
        <v>768</v>
      </c>
      <c r="H133" s="57" t="e">
        <f>((Tablo1[[#This Row],[Esans Fiyat]]/#REF!*Tablo1[[#This Row],[Esans]]*100)+(#REF!/1000*Tablo1[[#This Row],[Su]]*100)+(#REF!/1000*Tablo1[[#This Row],[Alkol]]*100))*(#REF!/100)+#REF!</f>
        <v>#REF!</v>
      </c>
      <c r="I133" s="33" t="s">
        <v>774</v>
      </c>
      <c r="J133" s="51" t="e">
        <f>#REF!*Tablo1[[#This Row],[Esans]]</f>
        <v>#REF!</v>
      </c>
      <c r="K133" s="51" t="e">
        <f>#REF!*Tablo1[[#This Row],[Su]]</f>
        <v>#REF!</v>
      </c>
      <c r="L133" s="51" t="e">
        <f>#REF!*Tablo1[[#This Row],[Alkol]]</f>
        <v>#REF!</v>
      </c>
      <c r="M133" s="44"/>
      <c r="N133" s="51">
        <f>(Tablo1[[#This Row],[KALAN ESANS]]/Tablo1[[#This Row],[Esans]]*0.01)*(Tablo1[[#This Row],[Alkol]]*100)</f>
        <v>0</v>
      </c>
      <c r="O133" s="51">
        <f>(Tablo1[[#This Row],[KALAN ESANS]]/Tablo1[[#This Row],[Esans]]*0.01)*(Tablo1[[#This Row],[Su]]*100)</f>
        <v>0</v>
      </c>
      <c r="P133" s="51">
        <f>Tablo1[[#This Row],[KALAN ESANS]]+Tablo1[[#This Row],[ALKOL Mik]]+Tablo1[[#This Row],[SU Mik]]</f>
        <v>0</v>
      </c>
    </row>
    <row r="134" spans="1:16" ht="15" customHeight="1" x14ac:dyDescent="0.2">
      <c r="A134" s="30" t="s">
        <v>19</v>
      </c>
      <c r="B134" s="36"/>
      <c r="C134" s="31">
        <v>0.21</v>
      </c>
      <c r="D134" s="31">
        <v>0.02</v>
      </c>
      <c r="E134" s="32">
        <f t="shared" si="2"/>
        <v>0.77</v>
      </c>
      <c r="F134" s="33" t="s">
        <v>25</v>
      </c>
      <c r="G134" s="34" t="s">
        <v>768</v>
      </c>
      <c r="H134" s="57" t="e">
        <f>((Tablo1[[#This Row],[Esans Fiyat]]/#REF!*Tablo1[[#This Row],[Esans]]*100)+(#REF!/1000*Tablo1[[#This Row],[Su]]*100)+(#REF!/1000*Tablo1[[#This Row],[Alkol]]*100))*(#REF!/100)+#REF!</f>
        <v>#REF!</v>
      </c>
      <c r="I134" s="33" t="s">
        <v>772</v>
      </c>
      <c r="J134" s="51" t="e">
        <f>#REF!*Tablo1[[#This Row],[Esans]]</f>
        <v>#REF!</v>
      </c>
      <c r="K134" s="51" t="e">
        <f>#REF!*Tablo1[[#This Row],[Su]]</f>
        <v>#REF!</v>
      </c>
      <c r="L134" s="51" t="e">
        <f>#REF!*Tablo1[[#This Row],[Alkol]]</f>
        <v>#REF!</v>
      </c>
      <c r="M134" s="44"/>
      <c r="N134" s="51">
        <f>(Tablo1[[#This Row],[KALAN ESANS]]/Tablo1[[#This Row],[Esans]]*0.01)*(Tablo1[[#This Row],[Alkol]]*100)</f>
        <v>0</v>
      </c>
      <c r="O134" s="51">
        <f>(Tablo1[[#This Row],[KALAN ESANS]]/Tablo1[[#This Row],[Esans]]*0.01)*(Tablo1[[#This Row],[Su]]*100)</f>
        <v>0</v>
      </c>
      <c r="P134" s="51">
        <f>Tablo1[[#This Row],[KALAN ESANS]]+Tablo1[[#This Row],[ALKOL Mik]]+Tablo1[[#This Row],[SU Mik]]</f>
        <v>0</v>
      </c>
    </row>
    <row r="135" spans="1:16" ht="15" customHeight="1" x14ac:dyDescent="0.2">
      <c r="A135" s="30" t="s">
        <v>146</v>
      </c>
      <c r="B135" s="36"/>
      <c r="C135" s="31">
        <v>0.2</v>
      </c>
      <c r="D135" s="31">
        <v>0.02</v>
      </c>
      <c r="E135" s="32">
        <f t="shared" si="2"/>
        <v>0.78</v>
      </c>
      <c r="F135" s="33" t="s">
        <v>25</v>
      </c>
      <c r="G135" s="34" t="s">
        <v>768</v>
      </c>
      <c r="H135" s="57" t="e">
        <f>((Tablo1[[#This Row],[Esans Fiyat]]/#REF!*Tablo1[[#This Row],[Esans]]*100)+(#REF!/1000*Tablo1[[#This Row],[Su]]*100)+(#REF!/1000*Tablo1[[#This Row],[Alkol]]*100))*(#REF!/100)+#REF!</f>
        <v>#REF!</v>
      </c>
      <c r="I135" s="33" t="s">
        <v>776</v>
      </c>
      <c r="J135" s="51" t="e">
        <f>#REF!*Tablo1[[#This Row],[Esans]]</f>
        <v>#REF!</v>
      </c>
      <c r="K135" s="51" t="e">
        <f>#REF!*Tablo1[[#This Row],[Su]]</f>
        <v>#REF!</v>
      </c>
      <c r="L135" s="51" t="e">
        <f>#REF!*Tablo1[[#This Row],[Alkol]]</f>
        <v>#REF!</v>
      </c>
      <c r="M135" s="44"/>
      <c r="N135" s="51">
        <f>(Tablo1[[#This Row],[KALAN ESANS]]/Tablo1[[#This Row],[Esans]]*0.01)*(Tablo1[[#This Row],[Alkol]]*100)</f>
        <v>0</v>
      </c>
      <c r="O135" s="51">
        <f>(Tablo1[[#This Row],[KALAN ESANS]]/Tablo1[[#This Row],[Esans]]*0.01)*(Tablo1[[#This Row],[Su]]*100)</f>
        <v>0</v>
      </c>
      <c r="P135" s="51">
        <f>Tablo1[[#This Row],[KALAN ESANS]]+Tablo1[[#This Row],[ALKOL Mik]]+Tablo1[[#This Row],[SU Mik]]</f>
        <v>0</v>
      </c>
    </row>
    <row r="136" spans="1:16" ht="15" customHeight="1" x14ac:dyDescent="0.2">
      <c r="A136" s="30" t="s">
        <v>147</v>
      </c>
      <c r="B136" s="36"/>
      <c r="C136" s="31">
        <v>0.15</v>
      </c>
      <c r="D136" s="31">
        <v>0</v>
      </c>
      <c r="E136" s="32">
        <f t="shared" si="2"/>
        <v>0.85</v>
      </c>
      <c r="F136" s="33" t="s">
        <v>28</v>
      </c>
      <c r="G136" s="34" t="s">
        <v>768</v>
      </c>
      <c r="H136" s="57" t="e">
        <f>((Tablo1[[#This Row],[Esans Fiyat]]/#REF!*Tablo1[[#This Row],[Esans]]*100)+(#REF!/1000*Tablo1[[#This Row],[Su]]*100)+(#REF!/1000*Tablo1[[#This Row],[Alkol]]*100))*(#REF!/100)+#REF!</f>
        <v>#REF!</v>
      </c>
      <c r="I136" s="33" t="s">
        <v>776</v>
      </c>
      <c r="J136" s="51" t="e">
        <f>#REF!*Tablo1[[#This Row],[Esans]]</f>
        <v>#REF!</v>
      </c>
      <c r="K136" s="51" t="e">
        <f>#REF!*Tablo1[[#This Row],[Su]]</f>
        <v>#REF!</v>
      </c>
      <c r="L136" s="51" t="e">
        <f>#REF!*Tablo1[[#This Row],[Alkol]]</f>
        <v>#REF!</v>
      </c>
      <c r="M136" s="44"/>
      <c r="N136" s="51">
        <f>(Tablo1[[#This Row],[KALAN ESANS]]/Tablo1[[#This Row],[Esans]]*0.01)*(Tablo1[[#This Row],[Alkol]]*100)</f>
        <v>0</v>
      </c>
      <c r="O136" s="51">
        <f>(Tablo1[[#This Row],[KALAN ESANS]]/Tablo1[[#This Row],[Esans]]*0.01)*(Tablo1[[#This Row],[Su]]*100)</f>
        <v>0</v>
      </c>
      <c r="P136" s="51">
        <f>Tablo1[[#This Row],[KALAN ESANS]]+Tablo1[[#This Row],[ALKOL Mik]]+Tablo1[[#This Row],[SU Mik]]</f>
        <v>0</v>
      </c>
    </row>
    <row r="137" spans="1:16" ht="15" customHeight="1" x14ac:dyDescent="0.2">
      <c r="A137" s="30" t="s">
        <v>145</v>
      </c>
      <c r="B137" s="36"/>
      <c r="C137" s="31">
        <v>0.15</v>
      </c>
      <c r="D137" s="31">
        <v>0.02</v>
      </c>
      <c r="E137" s="32">
        <f t="shared" si="2"/>
        <v>0.83</v>
      </c>
      <c r="F137" s="33" t="s">
        <v>28</v>
      </c>
      <c r="G137" s="34" t="s">
        <v>768</v>
      </c>
      <c r="H137" s="57" t="e">
        <f>((Tablo1[[#This Row],[Esans Fiyat]]/#REF!*Tablo1[[#This Row],[Esans]]*100)+(#REF!/1000*Tablo1[[#This Row],[Su]]*100)+(#REF!/1000*Tablo1[[#This Row],[Alkol]]*100))*(#REF!/100)+#REF!</f>
        <v>#REF!</v>
      </c>
      <c r="I137" s="33" t="s">
        <v>776</v>
      </c>
      <c r="J137" s="51" t="e">
        <f>#REF!*Tablo1[[#This Row],[Esans]]</f>
        <v>#REF!</v>
      </c>
      <c r="K137" s="51" t="e">
        <f>#REF!*Tablo1[[#This Row],[Su]]</f>
        <v>#REF!</v>
      </c>
      <c r="L137" s="51" t="e">
        <f>#REF!*Tablo1[[#This Row],[Alkol]]</f>
        <v>#REF!</v>
      </c>
      <c r="M137" s="44"/>
      <c r="N137" s="51">
        <f>(Tablo1[[#This Row],[KALAN ESANS]]/Tablo1[[#This Row],[Esans]]*0.01)*(Tablo1[[#This Row],[Alkol]]*100)</f>
        <v>0</v>
      </c>
      <c r="O137" s="51">
        <f>(Tablo1[[#This Row],[KALAN ESANS]]/Tablo1[[#This Row],[Esans]]*0.01)*(Tablo1[[#This Row],[Su]]*100)</f>
        <v>0</v>
      </c>
      <c r="P137" s="51">
        <f>Tablo1[[#This Row],[KALAN ESANS]]+Tablo1[[#This Row],[ALKOL Mik]]+Tablo1[[#This Row],[SU Mik]]</f>
        <v>0</v>
      </c>
    </row>
    <row r="138" spans="1:16" ht="15" customHeight="1" x14ac:dyDescent="0.2">
      <c r="A138" s="30" t="s">
        <v>143</v>
      </c>
      <c r="B138" s="36"/>
      <c r="C138" s="31">
        <v>0.15</v>
      </c>
      <c r="D138" s="31">
        <v>0.02</v>
      </c>
      <c r="E138" s="32">
        <f t="shared" si="2"/>
        <v>0.83</v>
      </c>
      <c r="F138" s="33" t="s">
        <v>28</v>
      </c>
      <c r="G138" s="34" t="s">
        <v>768</v>
      </c>
      <c r="H138" s="57" t="e">
        <f>((Tablo1[[#This Row],[Esans Fiyat]]/#REF!*Tablo1[[#This Row],[Esans]]*100)+(#REF!/1000*Tablo1[[#This Row],[Su]]*100)+(#REF!/1000*Tablo1[[#This Row],[Alkol]]*100))*(#REF!/100)+#REF!</f>
        <v>#REF!</v>
      </c>
      <c r="I138" s="33" t="s">
        <v>776</v>
      </c>
      <c r="J138" s="51" t="e">
        <f>#REF!*Tablo1[[#This Row],[Esans]]</f>
        <v>#REF!</v>
      </c>
      <c r="K138" s="51" t="e">
        <f>#REF!*Tablo1[[#This Row],[Su]]</f>
        <v>#REF!</v>
      </c>
      <c r="L138" s="51" t="e">
        <f>#REF!*Tablo1[[#This Row],[Alkol]]</f>
        <v>#REF!</v>
      </c>
      <c r="M138" s="44"/>
      <c r="N138" s="51">
        <f>(Tablo1[[#This Row],[KALAN ESANS]]/Tablo1[[#This Row],[Esans]]*0.01)*(Tablo1[[#This Row],[Alkol]]*100)</f>
        <v>0</v>
      </c>
      <c r="O138" s="51">
        <f>(Tablo1[[#This Row],[KALAN ESANS]]/Tablo1[[#This Row],[Esans]]*0.01)*(Tablo1[[#This Row],[Su]]*100)</f>
        <v>0</v>
      </c>
      <c r="P138" s="51">
        <f>Tablo1[[#This Row],[KALAN ESANS]]+Tablo1[[#This Row],[ALKOL Mik]]+Tablo1[[#This Row],[SU Mik]]</f>
        <v>0</v>
      </c>
    </row>
    <row r="139" spans="1:16" ht="15" customHeight="1" x14ac:dyDescent="0.2">
      <c r="A139" s="30" t="s">
        <v>144</v>
      </c>
      <c r="B139" s="36"/>
      <c r="C139" s="31">
        <v>0.15</v>
      </c>
      <c r="D139" s="31">
        <v>0</v>
      </c>
      <c r="E139" s="32">
        <f t="shared" si="2"/>
        <v>0.85</v>
      </c>
      <c r="F139" s="33" t="s">
        <v>28</v>
      </c>
      <c r="G139" s="34" t="s">
        <v>768</v>
      </c>
      <c r="H139" s="57" t="e">
        <f>((Tablo1[[#This Row],[Esans Fiyat]]/#REF!*Tablo1[[#This Row],[Esans]]*100)+(#REF!/1000*Tablo1[[#This Row],[Su]]*100)+(#REF!/1000*Tablo1[[#This Row],[Alkol]]*100))*(#REF!/100)+#REF!</f>
        <v>#REF!</v>
      </c>
      <c r="I139" s="33" t="s">
        <v>776</v>
      </c>
      <c r="J139" s="51" t="e">
        <f>#REF!*Tablo1[[#This Row],[Esans]]</f>
        <v>#REF!</v>
      </c>
      <c r="K139" s="51" t="e">
        <f>#REF!*Tablo1[[#This Row],[Su]]</f>
        <v>#REF!</v>
      </c>
      <c r="L139" s="51" t="e">
        <f>#REF!*Tablo1[[#This Row],[Alkol]]</f>
        <v>#REF!</v>
      </c>
      <c r="M139" s="44"/>
      <c r="N139" s="51">
        <f>(Tablo1[[#This Row],[KALAN ESANS]]/Tablo1[[#This Row],[Esans]]*0.01)*(Tablo1[[#This Row],[Alkol]]*100)</f>
        <v>0</v>
      </c>
      <c r="O139" s="51">
        <f>(Tablo1[[#This Row],[KALAN ESANS]]/Tablo1[[#This Row],[Esans]]*0.01)*(Tablo1[[#This Row],[Su]]*100)</f>
        <v>0</v>
      </c>
      <c r="P139" s="51">
        <f>Tablo1[[#This Row],[KALAN ESANS]]+Tablo1[[#This Row],[ALKOL Mik]]+Tablo1[[#This Row],[SU Mik]]</f>
        <v>0</v>
      </c>
    </row>
    <row r="140" spans="1:16" ht="15" customHeight="1" x14ac:dyDescent="0.2">
      <c r="A140" s="30" t="s">
        <v>142</v>
      </c>
      <c r="B140" s="36"/>
      <c r="C140" s="31">
        <v>0.15</v>
      </c>
      <c r="D140" s="31">
        <v>0.02</v>
      </c>
      <c r="E140" s="32">
        <f t="shared" si="2"/>
        <v>0.83</v>
      </c>
      <c r="F140" s="33" t="s">
        <v>28</v>
      </c>
      <c r="G140" s="34" t="s">
        <v>768</v>
      </c>
      <c r="H140" s="57" t="e">
        <f>((Tablo1[[#This Row],[Esans Fiyat]]/#REF!*Tablo1[[#This Row],[Esans]]*100)+(#REF!/1000*Tablo1[[#This Row],[Su]]*100)+(#REF!/1000*Tablo1[[#This Row],[Alkol]]*100))*(#REF!/100)+#REF!</f>
        <v>#REF!</v>
      </c>
      <c r="I140" s="33" t="s">
        <v>776</v>
      </c>
      <c r="J140" s="51" t="e">
        <f>#REF!*Tablo1[[#This Row],[Esans]]</f>
        <v>#REF!</v>
      </c>
      <c r="K140" s="51" t="e">
        <f>#REF!*Tablo1[[#This Row],[Su]]</f>
        <v>#REF!</v>
      </c>
      <c r="L140" s="51" t="e">
        <f>#REF!*Tablo1[[#This Row],[Alkol]]</f>
        <v>#REF!</v>
      </c>
      <c r="M140" s="44"/>
      <c r="N140" s="51">
        <f>(Tablo1[[#This Row],[KALAN ESANS]]/Tablo1[[#This Row],[Esans]]*0.01)*(Tablo1[[#This Row],[Alkol]]*100)</f>
        <v>0</v>
      </c>
      <c r="O140" s="51">
        <f>(Tablo1[[#This Row],[KALAN ESANS]]/Tablo1[[#This Row],[Esans]]*0.01)*(Tablo1[[#This Row],[Su]]*100)</f>
        <v>0</v>
      </c>
      <c r="P140" s="51">
        <f>Tablo1[[#This Row],[KALAN ESANS]]+Tablo1[[#This Row],[ALKOL Mik]]+Tablo1[[#This Row],[SU Mik]]</f>
        <v>0</v>
      </c>
    </row>
    <row r="141" spans="1:16" ht="15" customHeight="1" x14ac:dyDescent="0.2">
      <c r="A141" s="30" t="s">
        <v>148</v>
      </c>
      <c r="B141" s="36"/>
      <c r="C141" s="31">
        <v>0.15</v>
      </c>
      <c r="D141" s="31">
        <v>0.02</v>
      </c>
      <c r="E141" s="32">
        <f t="shared" si="2"/>
        <v>0.83</v>
      </c>
      <c r="F141" s="33" t="s">
        <v>28</v>
      </c>
      <c r="G141" s="34" t="s">
        <v>768</v>
      </c>
      <c r="H141" s="57" t="e">
        <f>((Tablo1[[#This Row],[Esans Fiyat]]/#REF!*Tablo1[[#This Row],[Esans]]*100)+(#REF!/1000*Tablo1[[#This Row],[Su]]*100)+(#REF!/1000*Tablo1[[#This Row],[Alkol]]*100))*(#REF!/100)+#REF!</f>
        <v>#REF!</v>
      </c>
      <c r="I141" s="33" t="s">
        <v>776</v>
      </c>
      <c r="J141" s="51" t="e">
        <f>#REF!*Tablo1[[#This Row],[Esans]]</f>
        <v>#REF!</v>
      </c>
      <c r="K141" s="51" t="e">
        <f>#REF!*Tablo1[[#This Row],[Su]]</f>
        <v>#REF!</v>
      </c>
      <c r="L141" s="51" t="e">
        <f>#REF!*Tablo1[[#This Row],[Alkol]]</f>
        <v>#REF!</v>
      </c>
      <c r="M141" s="44"/>
      <c r="N141" s="51">
        <f>(Tablo1[[#This Row],[KALAN ESANS]]/Tablo1[[#This Row],[Esans]]*0.01)*(Tablo1[[#This Row],[Alkol]]*100)</f>
        <v>0</v>
      </c>
      <c r="O141" s="51">
        <f>(Tablo1[[#This Row],[KALAN ESANS]]/Tablo1[[#This Row],[Esans]]*0.01)*(Tablo1[[#This Row],[Su]]*100)</f>
        <v>0</v>
      </c>
      <c r="P141" s="51">
        <f>Tablo1[[#This Row],[KALAN ESANS]]+Tablo1[[#This Row],[ALKOL Mik]]+Tablo1[[#This Row],[SU Mik]]</f>
        <v>0</v>
      </c>
    </row>
    <row r="142" spans="1:16" ht="15" customHeight="1" x14ac:dyDescent="0.2">
      <c r="A142" s="30" t="s">
        <v>141</v>
      </c>
      <c r="B142" s="36"/>
      <c r="C142" s="31">
        <v>0.13</v>
      </c>
      <c r="D142" s="31">
        <v>0.02</v>
      </c>
      <c r="E142" s="32">
        <f t="shared" si="2"/>
        <v>0.85</v>
      </c>
      <c r="F142" s="33" t="s">
        <v>28</v>
      </c>
      <c r="G142" s="34" t="s">
        <v>768</v>
      </c>
      <c r="H142" s="57" t="e">
        <f>((Tablo1[[#This Row],[Esans Fiyat]]/#REF!*Tablo1[[#This Row],[Esans]]*100)+(#REF!/1000*Tablo1[[#This Row],[Su]]*100)+(#REF!/1000*Tablo1[[#This Row],[Alkol]]*100))*(#REF!/100)+#REF!</f>
        <v>#REF!</v>
      </c>
      <c r="I142" s="33" t="s">
        <v>772</v>
      </c>
      <c r="J142" s="51" t="e">
        <f>#REF!*Tablo1[[#This Row],[Esans]]</f>
        <v>#REF!</v>
      </c>
      <c r="K142" s="51" t="e">
        <f>#REF!*Tablo1[[#This Row],[Su]]</f>
        <v>#REF!</v>
      </c>
      <c r="L142" s="51" t="e">
        <f>#REF!*Tablo1[[#This Row],[Alkol]]</f>
        <v>#REF!</v>
      </c>
      <c r="M142" s="44"/>
      <c r="N142" s="51">
        <f>(Tablo1[[#This Row],[KALAN ESANS]]/Tablo1[[#This Row],[Esans]]*0.01)*(Tablo1[[#This Row],[Alkol]]*100)</f>
        <v>0</v>
      </c>
      <c r="O142" s="51">
        <f>(Tablo1[[#This Row],[KALAN ESANS]]/Tablo1[[#This Row],[Esans]]*0.01)*(Tablo1[[#This Row],[Su]]*100)</f>
        <v>0</v>
      </c>
      <c r="P142" s="51">
        <f>Tablo1[[#This Row],[KALAN ESANS]]+Tablo1[[#This Row],[ALKOL Mik]]+Tablo1[[#This Row],[SU Mik]]</f>
        <v>0</v>
      </c>
    </row>
    <row r="143" spans="1:16" ht="15" customHeight="1" x14ac:dyDescent="0.2">
      <c r="A143" s="30" t="s">
        <v>140</v>
      </c>
      <c r="B143" s="36"/>
      <c r="C143" s="31">
        <v>0.15</v>
      </c>
      <c r="D143" s="31">
        <v>0.02</v>
      </c>
      <c r="E143" s="32">
        <f t="shared" si="2"/>
        <v>0.83</v>
      </c>
      <c r="F143" s="33" t="s">
        <v>28</v>
      </c>
      <c r="G143" s="34" t="s">
        <v>768</v>
      </c>
      <c r="H143" s="57" t="e">
        <f>((Tablo1[[#This Row],[Esans Fiyat]]/#REF!*Tablo1[[#This Row],[Esans]]*100)+(#REF!/1000*Tablo1[[#This Row],[Su]]*100)+(#REF!/1000*Tablo1[[#This Row],[Alkol]]*100))*(#REF!/100)+#REF!</f>
        <v>#REF!</v>
      </c>
      <c r="I143" s="33" t="s">
        <v>776</v>
      </c>
      <c r="J143" s="51" t="e">
        <f>#REF!*Tablo1[[#This Row],[Esans]]</f>
        <v>#REF!</v>
      </c>
      <c r="K143" s="51" t="e">
        <f>#REF!*Tablo1[[#This Row],[Su]]</f>
        <v>#REF!</v>
      </c>
      <c r="L143" s="51" t="e">
        <f>#REF!*Tablo1[[#This Row],[Alkol]]</f>
        <v>#REF!</v>
      </c>
      <c r="M143" s="44"/>
      <c r="N143" s="51">
        <f>(Tablo1[[#This Row],[KALAN ESANS]]/Tablo1[[#This Row],[Esans]]*0.01)*(Tablo1[[#This Row],[Alkol]]*100)</f>
        <v>0</v>
      </c>
      <c r="O143" s="51">
        <f>(Tablo1[[#This Row],[KALAN ESANS]]/Tablo1[[#This Row],[Esans]]*0.01)*(Tablo1[[#This Row],[Su]]*100)</f>
        <v>0</v>
      </c>
      <c r="P143" s="51">
        <f>Tablo1[[#This Row],[KALAN ESANS]]+Tablo1[[#This Row],[ALKOL Mik]]+Tablo1[[#This Row],[SU Mik]]</f>
        <v>0</v>
      </c>
    </row>
    <row r="144" spans="1:16" ht="15" customHeight="1" x14ac:dyDescent="0.2">
      <c r="A144" s="30" t="s">
        <v>51</v>
      </c>
      <c r="B144" s="36"/>
      <c r="C144" s="31">
        <v>0.1</v>
      </c>
      <c r="D144" s="31">
        <v>0.02</v>
      </c>
      <c r="E144" s="32">
        <f t="shared" si="2"/>
        <v>0.88</v>
      </c>
      <c r="F144" s="33" t="s">
        <v>25</v>
      </c>
      <c r="G144" s="34" t="s">
        <v>768</v>
      </c>
      <c r="H144" s="57" t="e">
        <f>((Tablo1[[#This Row],[Esans Fiyat]]/#REF!*Tablo1[[#This Row],[Esans]]*100)+(#REF!/1000*Tablo1[[#This Row],[Su]]*100)+(#REF!/1000*Tablo1[[#This Row],[Alkol]]*100))*(#REF!/100)+#REF!</f>
        <v>#REF!</v>
      </c>
      <c r="I144" s="33" t="s">
        <v>772</v>
      </c>
      <c r="J144" s="51" t="e">
        <f>#REF!*Tablo1[[#This Row],[Esans]]</f>
        <v>#REF!</v>
      </c>
      <c r="K144" s="51" t="e">
        <f>#REF!*Tablo1[[#This Row],[Su]]</f>
        <v>#REF!</v>
      </c>
      <c r="L144" s="51" t="e">
        <f>#REF!*Tablo1[[#This Row],[Alkol]]</f>
        <v>#REF!</v>
      </c>
      <c r="M144" s="44"/>
      <c r="N144" s="51">
        <f>(Tablo1[[#This Row],[KALAN ESANS]]/Tablo1[[#This Row],[Esans]]*0.01)*(Tablo1[[#This Row],[Alkol]]*100)</f>
        <v>0</v>
      </c>
      <c r="O144" s="51">
        <f>(Tablo1[[#This Row],[KALAN ESANS]]/Tablo1[[#This Row],[Esans]]*0.01)*(Tablo1[[#This Row],[Su]]*100)</f>
        <v>0</v>
      </c>
      <c r="P144" s="51">
        <f>Tablo1[[#This Row],[KALAN ESANS]]+Tablo1[[#This Row],[ALKOL Mik]]+Tablo1[[#This Row],[SU Mik]]</f>
        <v>0</v>
      </c>
    </row>
    <row r="145" spans="1:16" ht="15" customHeight="1" x14ac:dyDescent="0.2">
      <c r="A145" s="30" t="s">
        <v>139</v>
      </c>
      <c r="B145" s="36"/>
      <c r="C145" s="31">
        <v>0.15</v>
      </c>
      <c r="D145" s="31">
        <v>0.02</v>
      </c>
      <c r="E145" s="32">
        <f t="shared" si="2"/>
        <v>0.83</v>
      </c>
      <c r="F145" s="33" t="s">
        <v>28</v>
      </c>
      <c r="G145" s="34" t="s">
        <v>768</v>
      </c>
      <c r="H145" s="57" t="e">
        <f>((Tablo1[[#This Row],[Esans Fiyat]]/#REF!*Tablo1[[#This Row],[Esans]]*100)+(#REF!/1000*Tablo1[[#This Row],[Su]]*100)+(#REF!/1000*Tablo1[[#This Row],[Alkol]]*100))*(#REF!/100)+#REF!</f>
        <v>#REF!</v>
      </c>
      <c r="I145" s="33" t="s">
        <v>776</v>
      </c>
      <c r="J145" s="51" t="e">
        <f>#REF!*Tablo1[[#This Row],[Esans]]</f>
        <v>#REF!</v>
      </c>
      <c r="K145" s="51" t="e">
        <f>#REF!*Tablo1[[#This Row],[Su]]</f>
        <v>#REF!</v>
      </c>
      <c r="L145" s="51" t="e">
        <f>#REF!*Tablo1[[#This Row],[Alkol]]</f>
        <v>#REF!</v>
      </c>
      <c r="M145" s="44"/>
      <c r="N145" s="51">
        <f>(Tablo1[[#This Row],[KALAN ESANS]]/Tablo1[[#This Row],[Esans]]*0.01)*(Tablo1[[#This Row],[Alkol]]*100)</f>
        <v>0</v>
      </c>
      <c r="O145" s="51">
        <f>(Tablo1[[#This Row],[KALAN ESANS]]/Tablo1[[#This Row],[Esans]]*0.01)*(Tablo1[[#This Row],[Su]]*100)</f>
        <v>0</v>
      </c>
      <c r="P145" s="51">
        <f>Tablo1[[#This Row],[KALAN ESANS]]+Tablo1[[#This Row],[ALKOL Mik]]+Tablo1[[#This Row],[SU Mik]]</f>
        <v>0</v>
      </c>
    </row>
    <row r="146" spans="1:16" ht="15" customHeight="1" x14ac:dyDescent="0.2">
      <c r="A146" s="30" t="s">
        <v>138</v>
      </c>
      <c r="B146" s="36"/>
      <c r="C146" s="31">
        <v>0.2</v>
      </c>
      <c r="D146" s="31">
        <v>0.02</v>
      </c>
      <c r="E146" s="32">
        <f t="shared" si="2"/>
        <v>0.78</v>
      </c>
      <c r="F146" s="33" t="s">
        <v>25</v>
      </c>
      <c r="G146" s="34" t="s">
        <v>768</v>
      </c>
      <c r="H146" s="57" t="e">
        <f>((Tablo1[[#This Row],[Esans Fiyat]]/#REF!*Tablo1[[#This Row],[Esans]]*100)+(#REF!/1000*Tablo1[[#This Row],[Su]]*100)+(#REF!/1000*Tablo1[[#This Row],[Alkol]]*100))*(#REF!/100)+#REF!</f>
        <v>#REF!</v>
      </c>
      <c r="I146" s="33" t="s">
        <v>776</v>
      </c>
      <c r="J146" s="51" t="e">
        <f>#REF!*Tablo1[[#This Row],[Esans]]</f>
        <v>#REF!</v>
      </c>
      <c r="K146" s="51" t="e">
        <f>#REF!*Tablo1[[#This Row],[Su]]</f>
        <v>#REF!</v>
      </c>
      <c r="L146" s="51" t="e">
        <f>#REF!*Tablo1[[#This Row],[Alkol]]</f>
        <v>#REF!</v>
      </c>
      <c r="M146" s="44"/>
      <c r="N146" s="51">
        <f>(Tablo1[[#This Row],[KALAN ESANS]]/Tablo1[[#This Row],[Esans]]*0.01)*(Tablo1[[#This Row],[Alkol]]*100)</f>
        <v>0</v>
      </c>
      <c r="O146" s="51">
        <f>(Tablo1[[#This Row],[KALAN ESANS]]/Tablo1[[#This Row],[Esans]]*0.01)*(Tablo1[[#This Row],[Su]]*100)</f>
        <v>0</v>
      </c>
      <c r="P146" s="51">
        <f>Tablo1[[#This Row],[KALAN ESANS]]+Tablo1[[#This Row],[ALKOL Mik]]+Tablo1[[#This Row],[SU Mik]]</f>
        <v>0</v>
      </c>
    </row>
    <row r="147" spans="1:16" ht="15" customHeight="1" x14ac:dyDescent="0.2">
      <c r="A147" s="30" t="s">
        <v>137</v>
      </c>
      <c r="B147" s="36"/>
      <c r="C147" s="31">
        <v>0.15</v>
      </c>
      <c r="D147" s="31">
        <v>0.02</v>
      </c>
      <c r="E147" s="32">
        <f t="shared" si="2"/>
        <v>0.83</v>
      </c>
      <c r="F147" s="33" t="s">
        <v>28</v>
      </c>
      <c r="G147" s="34" t="s">
        <v>768</v>
      </c>
      <c r="H147" s="57" t="e">
        <f>((Tablo1[[#This Row],[Esans Fiyat]]/#REF!*Tablo1[[#This Row],[Esans]]*100)+(#REF!/1000*Tablo1[[#This Row],[Su]]*100)+(#REF!/1000*Tablo1[[#This Row],[Alkol]]*100))*(#REF!/100)+#REF!</f>
        <v>#REF!</v>
      </c>
      <c r="I147" s="33" t="s">
        <v>776</v>
      </c>
      <c r="J147" s="51" t="e">
        <f>#REF!*Tablo1[[#This Row],[Esans]]</f>
        <v>#REF!</v>
      </c>
      <c r="K147" s="51" t="e">
        <f>#REF!*Tablo1[[#This Row],[Su]]</f>
        <v>#REF!</v>
      </c>
      <c r="L147" s="51" t="e">
        <f>#REF!*Tablo1[[#This Row],[Alkol]]</f>
        <v>#REF!</v>
      </c>
      <c r="M147" s="44"/>
      <c r="N147" s="51">
        <f>(Tablo1[[#This Row],[KALAN ESANS]]/Tablo1[[#This Row],[Esans]]*0.01)*(Tablo1[[#This Row],[Alkol]]*100)</f>
        <v>0</v>
      </c>
      <c r="O147" s="51">
        <f>(Tablo1[[#This Row],[KALAN ESANS]]/Tablo1[[#This Row],[Esans]]*0.01)*(Tablo1[[#This Row],[Su]]*100)</f>
        <v>0</v>
      </c>
      <c r="P147" s="51">
        <f>Tablo1[[#This Row],[KALAN ESANS]]+Tablo1[[#This Row],[ALKOL Mik]]+Tablo1[[#This Row],[SU Mik]]</f>
        <v>0</v>
      </c>
    </row>
    <row r="148" spans="1:16" ht="15" customHeight="1" x14ac:dyDescent="0.2">
      <c r="A148" s="30" t="s">
        <v>131</v>
      </c>
      <c r="B148" s="36"/>
      <c r="C148" s="31">
        <v>0.15</v>
      </c>
      <c r="D148" s="31">
        <v>0.02</v>
      </c>
      <c r="E148" s="32">
        <f t="shared" si="2"/>
        <v>0.83</v>
      </c>
      <c r="F148" s="33" t="s">
        <v>28</v>
      </c>
      <c r="G148" s="34" t="s">
        <v>768</v>
      </c>
      <c r="H148" s="57" t="e">
        <f>((Tablo1[[#This Row],[Esans Fiyat]]/#REF!*Tablo1[[#This Row],[Esans]]*100)+(#REF!/1000*Tablo1[[#This Row],[Su]]*100)+(#REF!/1000*Tablo1[[#This Row],[Alkol]]*100))*(#REF!/100)+#REF!</f>
        <v>#REF!</v>
      </c>
      <c r="I148" s="33" t="s">
        <v>776</v>
      </c>
      <c r="J148" s="51" t="e">
        <f>#REF!*Tablo1[[#This Row],[Esans]]</f>
        <v>#REF!</v>
      </c>
      <c r="K148" s="51" t="e">
        <f>#REF!*Tablo1[[#This Row],[Su]]</f>
        <v>#REF!</v>
      </c>
      <c r="L148" s="51" t="e">
        <f>#REF!*Tablo1[[#This Row],[Alkol]]</f>
        <v>#REF!</v>
      </c>
      <c r="M148" s="44"/>
      <c r="N148" s="51">
        <f>(Tablo1[[#This Row],[KALAN ESANS]]/Tablo1[[#This Row],[Esans]]*0.01)*(Tablo1[[#This Row],[Alkol]]*100)</f>
        <v>0</v>
      </c>
      <c r="O148" s="51">
        <f>(Tablo1[[#This Row],[KALAN ESANS]]/Tablo1[[#This Row],[Esans]]*0.01)*(Tablo1[[#This Row],[Su]]*100)</f>
        <v>0</v>
      </c>
      <c r="P148" s="51">
        <f>Tablo1[[#This Row],[KALAN ESANS]]+Tablo1[[#This Row],[ALKOL Mik]]+Tablo1[[#This Row],[SU Mik]]</f>
        <v>0</v>
      </c>
    </row>
    <row r="149" spans="1:16" ht="15" customHeight="1" x14ac:dyDescent="0.2">
      <c r="A149" s="30" t="s">
        <v>133</v>
      </c>
      <c r="B149" s="36"/>
      <c r="C149" s="31">
        <v>0.15</v>
      </c>
      <c r="D149" s="31">
        <v>0.02</v>
      </c>
      <c r="E149" s="32">
        <f t="shared" si="2"/>
        <v>0.83</v>
      </c>
      <c r="F149" s="33" t="s">
        <v>28</v>
      </c>
      <c r="G149" s="34" t="s">
        <v>768</v>
      </c>
      <c r="H149" s="57" t="e">
        <f>((Tablo1[[#This Row],[Esans Fiyat]]/#REF!*Tablo1[[#This Row],[Esans]]*100)+(#REF!/1000*Tablo1[[#This Row],[Su]]*100)+(#REF!/1000*Tablo1[[#This Row],[Alkol]]*100))*(#REF!/100)+#REF!</f>
        <v>#REF!</v>
      </c>
      <c r="I149" s="33" t="s">
        <v>772</v>
      </c>
      <c r="J149" s="51" t="e">
        <f>#REF!*Tablo1[[#This Row],[Esans]]</f>
        <v>#REF!</v>
      </c>
      <c r="K149" s="51" t="e">
        <f>#REF!*Tablo1[[#This Row],[Su]]</f>
        <v>#REF!</v>
      </c>
      <c r="L149" s="51" t="e">
        <f>#REF!*Tablo1[[#This Row],[Alkol]]</f>
        <v>#REF!</v>
      </c>
      <c r="M149" s="44"/>
      <c r="N149" s="51">
        <f>(Tablo1[[#This Row],[KALAN ESANS]]/Tablo1[[#This Row],[Esans]]*0.01)*(Tablo1[[#This Row],[Alkol]]*100)</f>
        <v>0</v>
      </c>
      <c r="O149" s="51">
        <f>(Tablo1[[#This Row],[KALAN ESANS]]/Tablo1[[#This Row],[Esans]]*0.01)*(Tablo1[[#This Row],[Su]]*100)</f>
        <v>0</v>
      </c>
      <c r="P149" s="51">
        <f>Tablo1[[#This Row],[KALAN ESANS]]+Tablo1[[#This Row],[ALKOL Mik]]+Tablo1[[#This Row],[SU Mik]]</f>
        <v>0</v>
      </c>
    </row>
    <row r="150" spans="1:16" ht="15" customHeight="1" x14ac:dyDescent="0.2">
      <c r="A150" s="30" t="s">
        <v>132</v>
      </c>
      <c r="B150" s="36"/>
      <c r="C150" s="31">
        <v>0.21</v>
      </c>
      <c r="D150" s="31">
        <v>0.02</v>
      </c>
      <c r="E150" s="32">
        <f t="shared" si="2"/>
        <v>0.77</v>
      </c>
      <c r="F150" s="33" t="s">
        <v>25</v>
      </c>
      <c r="G150" s="34" t="s">
        <v>768</v>
      </c>
      <c r="H150" s="57" t="e">
        <f>((Tablo1[[#This Row],[Esans Fiyat]]/#REF!*Tablo1[[#This Row],[Esans]]*100)+(#REF!/1000*Tablo1[[#This Row],[Su]]*100)+(#REF!/1000*Tablo1[[#This Row],[Alkol]]*100))*(#REF!/100)+#REF!</f>
        <v>#REF!</v>
      </c>
      <c r="I150" s="33" t="s">
        <v>772</v>
      </c>
      <c r="J150" s="51" t="e">
        <f>#REF!*Tablo1[[#This Row],[Esans]]</f>
        <v>#REF!</v>
      </c>
      <c r="K150" s="51" t="e">
        <f>#REF!*Tablo1[[#This Row],[Su]]</f>
        <v>#REF!</v>
      </c>
      <c r="L150" s="51" t="e">
        <f>#REF!*Tablo1[[#This Row],[Alkol]]</f>
        <v>#REF!</v>
      </c>
      <c r="M150" s="44"/>
      <c r="N150" s="51">
        <f>(Tablo1[[#This Row],[KALAN ESANS]]/Tablo1[[#This Row],[Esans]]*0.01)*(Tablo1[[#This Row],[Alkol]]*100)</f>
        <v>0</v>
      </c>
      <c r="O150" s="51">
        <f>(Tablo1[[#This Row],[KALAN ESANS]]/Tablo1[[#This Row],[Esans]]*0.01)*(Tablo1[[#This Row],[Su]]*100)</f>
        <v>0</v>
      </c>
      <c r="P150" s="51">
        <f>Tablo1[[#This Row],[KALAN ESANS]]+Tablo1[[#This Row],[ALKOL Mik]]+Tablo1[[#This Row],[SU Mik]]</f>
        <v>0</v>
      </c>
    </row>
    <row r="151" spans="1:16" ht="15" customHeight="1" x14ac:dyDescent="0.2">
      <c r="A151" s="30" t="s">
        <v>136</v>
      </c>
      <c r="B151" s="36"/>
      <c r="C151" s="31">
        <v>0.15</v>
      </c>
      <c r="D151" s="31">
        <v>0.02</v>
      </c>
      <c r="E151" s="32">
        <f t="shared" si="2"/>
        <v>0.83</v>
      </c>
      <c r="F151" s="33" t="s">
        <v>28</v>
      </c>
      <c r="G151" s="34" t="s">
        <v>768</v>
      </c>
      <c r="H151" s="57" t="e">
        <f>((Tablo1[[#This Row],[Esans Fiyat]]/#REF!*Tablo1[[#This Row],[Esans]]*100)+(#REF!/1000*Tablo1[[#This Row],[Su]]*100)+(#REF!/1000*Tablo1[[#This Row],[Alkol]]*100))*(#REF!/100)+#REF!</f>
        <v>#REF!</v>
      </c>
      <c r="I151" s="33" t="s">
        <v>774</v>
      </c>
      <c r="J151" s="51" t="e">
        <f>#REF!*Tablo1[[#This Row],[Esans]]</f>
        <v>#REF!</v>
      </c>
      <c r="K151" s="51" t="e">
        <f>#REF!*Tablo1[[#This Row],[Su]]</f>
        <v>#REF!</v>
      </c>
      <c r="L151" s="51" t="e">
        <f>#REF!*Tablo1[[#This Row],[Alkol]]</f>
        <v>#REF!</v>
      </c>
      <c r="M151" s="44"/>
      <c r="N151" s="51">
        <f>(Tablo1[[#This Row],[KALAN ESANS]]/Tablo1[[#This Row],[Esans]]*0.01)*(Tablo1[[#This Row],[Alkol]]*100)</f>
        <v>0</v>
      </c>
      <c r="O151" s="51">
        <f>(Tablo1[[#This Row],[KALAN ESANS]]/Tablo1[[#This Row],[Esans]]*0.01)*(Tablo1[[#This Row],[Su]]*100)</f>
        <v>0</v>
      </c>
      <c r="P151" s="51">
        <f>Tablo1[[#This Row],[KALAN ESANS]]+Tablo1[[#This Row],[ALKOL Mik]]+Tablo1[[#This Row],[SU Mik]]</f>
        <v>0</v>
      </c>
    </row>
    <row r="152" spans="1:16" ht="15" customHeight="1" x14ac:dyDescent="0.2">
      <c r="A152" s="30" t="s">
        <v>135</v>
      </c>
      <c r="B152" s="36"/>
      <c r="C152" s="31">
        <v>0.15</v>
      </c>
      <c r="D152" s="31">
        <v>0.02</v>
      </c>
      <c r="E152" s="32">
        <f t="shared" si="2"/>
        <v>0.83</v>
      </c>
      <c r="F152" s="33" t="s">
        <v>28</v>
      </c>
      <c r="G152" s="34" t="s">
        <v>768</v>
      </c>
      <c r="H152" s="57" t="e">
        <f>((Tablo1[[#This Row],[Esans Fiyat]]/#REF!*Tablo1[[#This Row],[Esans]]*100)+(#REF!/1000*Tablo1[[#This Row],[Su]]*100)+(#REF!/1000*Tablo1[[#This Row],[Alkol]]*100))*(#REF!/100)+#REF!</f>
        <v>#REF!</v>
      </c>
      <c r="I152" s="33" t="s">
        <v>776</v>
      </c>
      <c r="J152" s="51" t="e">
        <f>#REF!*Tablo1[[#This Row],[Esans]]</f>
        <v>#REF!</v>
      </c>
      <c r="K152" s="51" t="e">
        <f>#REF!*Tablo1[[#This Row],[Su]]</f>
        <v>#REF!</v>
      </c>
      <c r="L152" s="51" t="e">
        <f>#REF!*Tablo1[[#This Row],[Alkol]]</f>
        <v>#REF!</v>
      </c>
      <c r="M152" s="44"/>
      <c r="N152" s="51">
        <f>(Tablo1[[#This Row],[KALAN ESANS]]/Tablo1[[#This Row],[Esans]]*0.01)*(Tablo1[[#This Row],[Alkol]]*100)</f>
        <v>0</v>
      </c>
      <c r="O152" s="51">
        <f>(Tablo1[[#This Row],[KALAN ESANS]]/Tablo1[[#This Row],[Esans]]*0.01)*(Tablo1[[#This Row],[Su]]*100)</f>
        <v>0</v>
      </c>
      <c r="P152" s="51">
        <f>Tablo1[[#This Row],[KALAN ESANS]]+Tablo1[[#This Row],[ALKOL Mik]]+Tablo1[[#This Row],[SU Mik]]</f>
        <v>0</v>
      </c>
    </row>
    <row r="153" spans="1:16" ht="15" customHeight="1" x14ac:dyDescent="0.2">
      <c r="A153" s="30" t="s">
        <v>134</v>
      </c>
      <c r="B153" s="36"/>
      <c r="C153" s="31">
        <v>0.15</v>
      </c>
      <c r="D153" s="31">
        <v>0.02</v>
      </c>
      <c r="E153" s="32">
        <f t="shared" si="2"/>
        <v>0.83</v>
      </c>
      <c r="F153" s="33" t="s">
        <v>28</v>
      </c>
      <c r="G153" s="34" t="s">
        <v>768</v>
      </c>
      <c r="H153" s="57" t="e">
        <f>((Tablo1[[#This Row],[Esans Fiyat]]/#REF!*Tablo1[[#This Row],[Esans]]*100)+(#REF!/1000*Tablo1[[#This Row],[Su]]*100)+(#REF!/1000*Tablo1[[#This Row],[Alkol]]*100))*(#REF!/100)+#REF!</f>
        <v>#REF!</v>
      </c>
      <c r="I153" s="33" t="s">
        <v>776</v>
      </c>
      <c r="J153" s="51" t="e">
        <f>#REF!*Tablo1[[#This Row],[Esans]]</f>
        <v>#REF!</v>
      </c>
      <c r="K153" s="51" t="e">
        <f>#REF!*Tablo1[[#This Row],[Su]]</f>
        <v>#REF!</v>
      </c>
      <c r="L153" s="51" t="e">
        <f>#REF!*Tablo1[[#This Row],[Alkol]]</f>
        <v>#REF!</v>
      </c>
      <c r="M153" s="44"/>
      <c r="N153" s="51">
        <f>(Tablo1[[#This Row],[KALAN ESANS]]/Tablo1[[#This Row],[Esans]]*0.01)*(Tablo1[[#This Row],[Alkol]]*100)</f>
        <v>0</v>
      </c>
      <c r="O153" s="51">
        <f>(Tablo1[[#This Row],[KALAN ESANS]]/Tablo1[[#This Row],[Esans]]*0.01)*(Tablo1[[#This Row],[Su]]*100)</f>
        <v>0</v>
      </c>
      <c r="P153" s="51">
        <f>Tablo1[[#This Row],[KALAN ESANS]]+Tablo1[[#This Row],[ALKOL Mik]]+Tablo1[[#This Row],[SU Mik]]</f>
        <v>0</v>
      </c>
    </row>
    <row r="154" spans="1:16" ht="15" customHeight="1" x14ac:dyDescent="0.2">
      <c r="A154" s="30" t="s">
        <v>52</v>
      </c>
      <c r="B154" s="36"/>
      <c r="C154" s="31">
        <v>0.2</v>
      </c>
      <c r="D154" s="31">
        <v>0.02</v>
      </c>
      <c r="E154" s="32">
        <f t="shared" si="2"/>
        <v>0.78</v>
      </c>
      <c r="F154" s="33" t="s">
        <v>25</v>
      </c>
      <c r="G154" s="34" t="s">
        <v>768</v>
      </c>
      <c r="H154" s="57" t="e">
        <f>((Tablo1[[#This Row],[Esans Fiyat]]/#REF!*Tablo1[[#This Row],[Esans]]*100)+(#REF!/1000*Tablo1[[#This Row],[Su]]*100)+(#REF!/1000*Tablo1[[#This Row],[Alkol]]*100))*(#REF!/100)+#REF!</f>
        <v>#REF!</v>
      </c>
      <c r="I154" s="33" t="s">
        <v>776</v>
      </c>
      <c r="J154" s="51" t="e">
        <f>#REF!*Tablo1[[#This Row],[Esans]]</f>
        <v>#REF!</v>
      </c>
      <c r="K154" s="51" t="e">
        <f>#REF!*Tablo1[[#This Row],[Su]]</f>
        <v>#REF!</v>
      </c>
      <c r="L154" s="51" t="e">
        <f>#REF!*Tablo1[[#This Row],[Alkol]]</f>
        <v>#REF!</v>
      </c>
      <c r="M154" s="44"/>
      <c r="N154" s="51">
        <f>(Tablo1[[#This Row],[KALAN ESANS]]/Tablo1[[#This Row],[Esans]]*0.01)*(Tablo1[[#This Row],[Alkol]]*100)</f>
        <v>0</v>
      </c>
      <c r="O154" s="51">
        <f>(Tablo1[[#This Row],[KALAN ESANS]]/Tablo1[[#This Row],[Esans]]*0.01)*(Tablo1[[#This Row],[Su]]*100)</f>
        <v>0</v>
      </c>
      <c r="P154" s="51">
        <f>Tablo1[[#This Row],[KALAN ESANS]]+Tablo1[[#This Row],[ALKOL Mik]]+Tablo1[[#This Row],[SU Mik]]</f>
        <v>0</v>
      </c>
    </row>
    <row r="155" spans="1:16" ht="15" customHeight="1" x14ac:dyDescent="0.2">
      <c r="A155" s="30" t="s">
        <v>130</v>
      </c>
      <c r="B155" s="36"/>
      <c r="C155" s="31">
        <v>0.04</v>
      </c>
      <c r="D155" s="31">
        <v>0.02</v>
      </c>
      <c r="E155" s="32">
        <f t="shared" si="2"/>
        <v>0.94</v>
      </c>
      <c r="F155" s="33" t="s">
        <v>38</v>
      </c>
      <c r="G155" s="34" t="s">
        <v>768</v>
      </c>
      <c r="H155" s="57" t="e">
        <f>((Tablo1[[#This Row],[Esans Fiyat]]/#REF!*Tablo1[[#This Row],[Esans]]*100)+(#REF!/1000*Tablo1[[#This Row],[Su]]*100)+(#REF!/1000*Tablo1[[#This Row],[Alkol]]*100))*(#REF!/100)+#REF!</f>
        <v>#REF!</v>
      </c>
      <c r="I155" s="33" t="s">
        <v>774</v>
      </c>
      <c r="J155" s="51" t="e">
        <f>#REF!*Tablo1[[#This Row],[Esans]]</f>
        <v>#REF!</v>
      </c>
      <c r="K155" s="51" t="e">
        <f>#REF!*Tablo1[[#This Row],[Su]]</f>
        <v>#REF!</v>
      </c>
      <c r="L155" s="51" t="e">
        <f>#REF!*Tablo1[[#This Row],[Alkol]]</f>
        <v>#REF!</v>
      </c>
      <c r="M155" s="44"/>
      <c r="N155" s="51">
        <f>(Tablo1[[#This Row],[KALAN ESANS]]/Tablo1[[#This Row],[Esans]]*0.01)*(Tablo1[[#This Row],[Alkol]]*100)</f>
        <v>0</v>
      </c>
      <c r="O155" s="51">
        <f>(Tablo1[[#This Row],[KALAN ESANS]]/Tablo1[[#This Row],[Esans]]*0.01)*(Tablo1[[#This Row],[Su]]*100)</f>
        <v>0</v>
      </c>
      <c r="P155" s="51">
        <f>Tablo1[[#This Row],[KALAN ESANS]]+Tablo1[[#This Row],[ALKOL Mik]]+Tablo1[[#This Row],[SU Mik]]</f>
        <v>0</v>
      </c>
    </row>
    <row r="156" spans="1:16" ht="15" customHeight="1" x14ac:dyDescent="0.2">
      <c r="A156" s="30" t="s">
        <v>129</v>
      </c>
      <c r="B156" s="36"/>
      <c r="C156" s="31">
        <v>0.04</v>
      </c>
      <c r="D156" s="31">
        <v>0.02</v>
      </c>
      <c r="E156" s="32">
        <f t="shared" si="2"/>
        <v>0.94</v>
      </c>
      <c r="F156" s="33" t="s">
        <v>38</v>
      </c>
      <c r="G156" s="34" t="s">
        <v>768</v>
      </c>
      <c r="H156" s="57" t="e">
        <f>((Tablo1[[#This Row],[Esans Fiyat]]/#REF!*Tablo1[[#This Row],[Esans]]*100)+(#REF!/1000*Tablo1[[#This Row],[Su]]*100)+(#REF!/1000*Tablo1[[#This Row],[Alkol]]*100))*(#REF!/100)+#REF!</f>
        <v>#REF!</v>
      </c>
      <c r="I156" s="33" t="s">
        <v>776</v>
      </c>
      <c r="J156" s="51" t="e">
        <f>#REF!*Tablo1[[#This Row],[Esans]]</f>
        <v>#REF!</v>
      </c>
      <c r="K156" s="51" t="e">
        <f>#REF!*Tablo1[[#This Row],[Su]]</f>
        <v>#REF!</v>
      </c>
      <c r="L156" s="51" t="e">
        <f>#REF!*Tablo1[[#This Row],[Alkol]]</f>
        <v>#REF!</v>
      </c>
      <c r="M156" s="44"/>
      <c r="N156" s="51">
        <f>(Tablo1[[#This Row],[KALAN ESANS]]/Tablo1[[#This Row],[Esans]]*0.01)*(Tablo1[[#This Row],[Alkol]]*100)</f>
        <v>0</v>
      </c>
      <c r="O156" s="51">
        <f>(Tablo1[[#This Row],[KALAN ESANS]]/Tablo1[[#This Row],[Esans]]*0.01)*(Tablo1[[#This Row],[Su]]*100)</f>
        <v>0</v>
      </c>
      <c r="P156" s="51">
        <f>Tablo1[[#This Row],[KALAN ESANS]]+Tablo1[[#This Row],[ALKOL Mik]]+Tablo1[[#This Row],[SU Mik]]</f>
        <v>0</v>
      </c>
    </row>
    <row r="157" spans="1:16" ht="15" customHeight="1" x14ac:dyDescent="0.2">
      <c r="A157" s="30" t="s">
        <v>126</v>
      </c>
      <c r="B157" s="36"/>
      <c r="C157" s="31">
        <v>0.15</v>
      </c>
      <c r="D157" s="31">
        <v>0.02</v>
      </c>
      <c r="E157" s="32">
        <f t="shared" si="2"/>
        <v>0.83</v>
      </c>
      <c r="F157" s="33" t="s">
        <v>28</v>
      </c>
      <c r="G157" s="34" t="s">
        <v>768</v>
      </c>
      <c r="H157" s="57" t="e">
        <f>((Tablo1[[#This Row],[Esans Fiyat]]/#REF!*Tablo1[[#This Row],[Esans]]*100)+(#REF!/1000*Tablo1[[#This Row],[Su]]*100)+(#REF!/1000*Tablo1[[#This Row],[Alkol]]*100))*(#REF!/100)+#REF!</f>
        <v>#REF!</v>
      </c>
      <c r="I157" s="33" t="s">
        <v>776</v>
      </c>
      <c r="J157" s="51" t="e">
        <f>#REF!*Tablo1[[#This Row],[Esans]]</f>
        <v>#REF!</v>
      </c>
      <c r="K157" s="51" t="e">
        <f>#REF!*Tablo1[[#This Row],[Su]]</f>
        <v>#REF!</v>
      </c>
      <c r="L157" s="51" t="e">
        <f>#REF!*Tablo1[[#This Row],[Alkol]]</f>
        <v>#REF!</v>
      </c>
      <c r="M157" s="44"/>
      <c r="N157" s="51">
        <f>(Tablo1[[#This Row],[KALAN ESANS]]/Tablo1[[#This Row],[Esans]]*0.01)*(Tablo1[[#This Row],[Alkol]]*100)</f>
        <v>0</v>
      </c>
      <c r="O157" s="51">
        <f>(Tablo1[[#This Row],[KALAN ESANS]]/Tablo1[[#This Row],[Esans]]*0.01)*(Tablo1[[#This Row],[Su]]*100)</f>
        <v>0</v>
      </c>
      <c r="P157" s="51">
        <f>Tablo1[[#This Row],[KALAN ESANS]]+Tablo1[[#This Row],[ALKOL Mik]]+Tablo1[[#This Row],[SU Mik]]</f>
        <v>0</v>
      </c>
    </row>
    <row r="158" spans="1:16" ht="15" customHeight="1" x14ac:dyDescent="0.2">
      <c r="A158" s="30" t="s">
        <v>127</v>
      </c>
      <c r="B158" s="36"/>
      <c r="C158" s="31">
        <v>0.14000000000000001</v>
      </c>
      <c r="D158" s="31">
        <v>0.02</v>
      </c>
      <c r="E158" s="32">
        <f t="shared" si="2"/>
        <v>0.84</v>
      </c>
      <c r="F158" s="33" t="s">
        <v>28</v>
      </c>
      <c r="G158" s="34" t="s">
        <v>768</v>
      </c>
      <c r="H158" s="57" t="e">
        <f>((Tablo1[[#This Row],[Esans Fiyat]]/#REF!*Tablo1[[#This Row],[Esans]]*100)+(#REF!/1000*Tablo1[[#This Row],[Su]]*100)+(#REF!/1000*Tablo1[[#This Row],[Alkol]]*100))*(#REF!/100)+#REF!</f>
        <v>#REF!</v>
      </c>
      <c r="I158" s="33" t="s">
        <v>772</v>
      </c>
      <c r="J158" s="51" t="e">
        <f>#REF!*Tablo1[[#This Row],[Esans]]</f>
        <v>#REF!</v>
      </c>
      <c r="K158" s="51" t="e">
        <f>#REF!*Tablo1[[#This Row],[Su]]</f>
        <v>#REF!</v>
      </c>
      <c r="L158" s="51" t="e">
        <f>#REF!*Tablo1[[#This Row],[Alkol]]</f>
        <v>#REF!</v>
      </c>
      <c r="M158" s="44"/>
      <c r="N158" s="51">
        <f>(Tablo1[[#This Row],[KALAN ESANS]]/Tablo1[[#This Row],[Esans]]*0.01)*(Tablo1[[#This Row],[Alkol]]*100)</f>
        <v>0</v>
      </c>
      <c r="O158" s="51">
        <f>(Tablo1[[#This Row],[KALAN ESANS]]/Tablo1[[#This Row],[Esans]]*0.01)*(Tablo1[[#This Row],[Su]]*100)</f>
        <v>0</v>
      </c>
      <c r="P158" s="51">
        <f>Tablo1[[#This Row],[KALAN ESANS]]+Tablo1[[#This Row],[ALKOL Mik]]+Tablo1[[#This Row],[SU Mik]]</f>
        <v>0</v>
      </c>
    </row>
    <row r="159" spans="1:16" ht="15" customHeight="1" x14ac:dyDescent="0.2">
      <c r="A159" s="30" t="s">
        <v>128</v>
      </c>
      <c r="B159" s="36"/>
      <c r="C159" s="31">
        <v>0.15</v>
      </c>
      <c r="D159" s="31">
        <v>0.02</v>
      </c>
      <c r="E159" s="32">
        <f t="shared" si="2"/>
        <v>0.83</v>
      </c>
      <c r="F159" s="33" t="s">
        <v>28</v>
      </c>
      <c r="G159" s="34" t="s">
        <v>768</v>
      </c>
      <c r="H159" s="57" t="e">
        <f>((Tablo1[[#This Row],[Esans Fiyat]]/#REF!*Tablo1[[#This Row],[Esans]]*100)+(#REF!/1000*Tablo1[[#This Row],[Su]]*100)+(#REF!/1000*Tablo1[[#This Row],[Alkol]]*100))*(#REF!/100)+#REF!</f>
        <v>#REF!</v>
      </c>
      <c r="I159" s="33" t="s">
        <v>772</v>
      </c>
      <c r="J159" s="51" t="e">
        <f>#REF!*Tablo1[[#This Row],[Esans]]</f>
        <v>#REF!</v>
      </c>
      <c r="K159" s="51" t="e">
        <f>#REF!*Tablo1[[#This Row],[Su]]</f>
        <v>#REF!</v>
      </c>
      <c r="L159" s="51" t="e">
        <f>#REF!*Tablo1[[#This Row],[Alkol]]</f>
        <v>#REF!</v>
      </c>
      <c r="M159" s="44"/>
      <c r="N159" s="51">
        <f>(Tablo1[[#This Row],[KALAN ESANS]]/Tablo1[[#This Row],[Esans]]*0.01)*(Tablo1[[#This Row],[Alkol]]*100)</f>
        <v>0</v>
      </c>
      <c r="O159" s="51">
        <f>(Tablo1[[#This Row],[KALAN ESANS]]/Tablo1[[#This Row],[Esans]]*0.01)*(Tablo1[[#This Row],[Su]]*100)</f>
        <v>0</v>
      </c>
      <c r="P159" s="51">
        <f>Tablo1[[#This Row],[KALAN ESANS]]+Tablo1[[#This Row],[ALKOL Mik]]+Tablo1[[#This Row],[SU Mik]]</f>
        <v>0</v>
      </c>
    </row>
    <row r="160" spans="1:16" ht="15" customHeight="1" x14ac:dyDescent="0.2">
      <c r="A160" s="30" t="s">
        <v>125</v>
      </c>
      <c r="B160" s="36"/>
      <c r="C160" s="31">
        <v>0.15</v>
      </c>
      <c r="D160" s="31">
        <v>0.02</v>
      </c>
      <c r="E160" s="32">
        <f t="shared" si="2"/>
        <v>0.83</v>
      </c>
      <c r="F160" s="33" t="s">
        <v>28</v>
      </c>
      <c r="G160" s="34" t="s">
        <v>768</v>
      </c>
      <c r="H160" s="57" t="e">
        <f>((Tablo1[[#This Row],[Esans Fiyat]]/#REF!*Tablo1[[#This Row],[Esans]]*100)+(#REF!/1000*Tablo1[[#This Row],[Su]]*100)+(#REF!/1000*Tablo1[[#This Row],[Alkol]]*100))*(#REF!/100)+#REF!</f>
        <v>#REF!</v>
      </c>
      <c r="I160" s="33" t="s">
        <v>776</v>
      </c>
      <c r="J160" s="51" t="e">
        <f>#REF!*Tablo1[[#This Row],[Esans]]</f>
        <v>#REF!</v>
      </c>
      <c r="K160" s="51" t="e">
        <f>#REF!*Tablo1[[#This Row],[Su]]</f>
        <v>#REF!</v>
      </c>
      <c r="L160" s="51" t="e">
        <f>#REF!*Tablo1[[#This Row],[Alkol]]</f>
        <v>#REF!</v>
      </c>
      <c r="M160" s="44"/>
      <c r="N160" s="51">
        <f>(Tablo1[[#This Row],[KALAN ESANS]]/Tablo1[[#This Row],[Esans]]*0.01)*(Tablo1[[#This Row],[Alkol]]*100)</f>
        <v>0</v>
      </c>
      <c r="O160" s="51">
        <f>(Tablo1[[#This Row],[KALAN ESANS]]/Tablo1[[#This Row],[Esans]]*0.01)*(Tablo1[[#This Row],[Su]]*100)</f>
        <v>0</v>
      </c>
      <c r="P160" s="51">
        <f>Tablo1[[#This Row],[KALAN ESANS]]+Tablo1[[#This Row],[ALKOL Mik]]+Tablo1[[#This Row],[SU Mik]]</f>
        <v>0</v>
      </c>
    </row>
    <row r="161" spans="1:16" ht="15" customHeight="1" x14ac:dyDescent="0.2">
      <c r="A161" s="30" t="s">
        <v>123</v>
      </c>
      <c r="B161" s="36"/>
      <c r="C161" s="31">
        <v>0.15</v>
      </c>
      <c r="D161" s="31">
        <v>0.02</v>
      </c>
      <c r="E161" s="32">
        <f t="shared" si="2"/>
        <v>0.83</v>
      </c>
      <c r="F161" s="33" t="s">
        <v>28</v>
      </c>
      <c r="G161" s="34" t="s">
        <v>768</v>
      </c>
      <c r="H161" s="57" t="e">
        <f>((Tablo1[[#This Row],[Esans Fiyat]]/#REF!*Tablo1[[#This Row],[Esans]]*100)+(#REF!/1000*Tablo1[[#This Row],[Su]]*100)+(#REF!/1000*Tablo1[[#This Row],[Alkol]]*100))*(#REF!/100)+#REF!</f>
        <v>#REF!</v>
      </c>
      <c r="I161" s="33" t="s">
        <v>776</v>
      </c>
      <c r="J161" s="51" t="e">
        <f>#REF!*Tablo1[[#This Row],[Esans]]</f>
        <v>#REF!</v>
      </c>
      <c r="K161" s="51" t="e">
        <f>#REF!*Tablo1[[#This Row],[Su]]</f>
        <v>#REF!</v>
      </c>
      <c r="L161" s="51" t="e">
        <f>#REF!*Tablo1[[#This Row],[Alkol]]</f>
        <v>#REF!</v>
      </c>
      <c r="M161" s="44"/>
      <c r="N161" s="51">
        <f>(Tablo1[[#This Row],[KALAN ESANS]]/Tablo1[[#This Row],[Esans]]*0.01)*(Tablo1[[#This Row],[Alkol]]*100)</f>
        <v>0</v>
      </c>
      <c r="O161" s="51">
        <f>(Tablo1[[#This Row],[KALAN ESANS]]/Tablo1[[#This Row],[Esans]]*0.01)*(Tablo1[[#This Row],[Su]]*100)</f>
        <v>0</v>
      </c>
      <c r="P161" s="51">
        <f>Tablo1[[#This Row],[KALAN ESANS]]+Tablo1[[#This Row],[ALKOL Mik]]+Tablo1[[#This Row],[SU Mik]]</f>
        <v>0</v>
      </c>
    </row>
    <row r="162" spans="1:16" ht="15" customHeight="1" x14ac:dyDescent="0.2">
      <c r="A162" s="30" t="s">
        <v>124</v>
      </c>
      <c r="B162" s="36"/>
      <c r="C162" s="31">
        <v>0.15</v>
      </c>
      <c r="D162" s="31">
        <v>0.02</v>
      </c>
      <c r="E162" s="32">
        <f t="shared" si="2"/>
        <v>0.83</v>
      </c>
      <c r="F162" s="33" t="s">
        <v>28</v>
      </c>
      <c r="G162" s="34" t="s">
        <v>768</v>
      </c>
      <c r="H162" s="57" t="e">
        <f>((Tablo1[[#This Row],[Esans Fiyat]]/#REF!*Tablo1[[#This Row],[Esans]]*100)+(#REF!/1000*Tablo1[[#This Row],[Su]]*100)+(#REF!/1000*Tablo1[[#This Row],[Alkol]]*100))*(#REF!/100)+#REF!</f>
        <v>#REF!</v>
      </c>
      <c r="I162" s="33" t="s">
        <v>776</v>
      </c>
      <c r="J162" s="51" t="e">
        <f>#REF!*Tablo1[[#This Row],[Esans]]</f>
        <v>#REF!</v>
      </c>
      <c r="K162" s="51" t="e">
        <f>#REF!*Tablo1[[#This Row],[Su]]</f>
        <v>#REF!</v>
      </c>
      <c r="L162" s="51" t="e">
        <f>#REF!*Tablo1[[#This Row],[Alkol]]</f>
        <v>#REF!</v>
      </c>
      <c r="M162" s="44"/>
      <c r="N162" s="51">
        <f>(Tablo1[[#This Row],[KALAN ESANS]]/Tablo1[[#This Row],[Esans]]*0.01)*(Tablo1[[#This Row],[Alkol]]*100)</f>
        <v>0</v>
      </c>
      <c r="O162" s="51">
        <f>(Tablo1[[#This Row],[KALAN ESANS]]/Tablo1[[#This Row],[Esans]]*0.01)*(Tablo1[[#This Row],[Su]]*100)</f>
        <v>0</v>
      </c>
      <c r="P162" s="51">
        <f>Tablo1[[#This Row],[KALAN ESANS]]+Tablo1[[#This Row],[ALKOL Mik]]+Tablo1[[#This Row],[SU Mik]]</f>
        <v>0</v>
      </c>
    </row>
    <row r="163" spans="1:16" ht="15" customHeight="1" x14ac:dyDescent="0.2">
      <c r="A163" s="30" t="s">
        <v>122</v>
      </c>
      <c r="B163" s="36"/>
      <c r="C163" s="31">
        <v>0.15</v>
      </c>
      <c r="D163" s="31">
        <v>0.02</v>
      </c>
      <c r="E163" s="32">
        <f t="shared" si="2"/>
        <v>0.83</v>
      </c>
      <c r="F163" s="33" t="s">
        <v>28</v>
      </c>
      <c r="G163" s="34" t="s">
        <v>768</v>
      </c>
      <c r="H163" s="57" t="e">
        <f>((Tablo1[[#This Row],[Esans Fiyat]]/#REF!*Tablo1[[#This Row],[Esans]]*100)+(#REF!/1000*Tablo1[[#This Row],[Su]]*100)+(#REF!/1000*Tablo1[[#This Row],[Alkol]]*100))*(#REF!/100)+#REF!</f>
        <v>#REF!</v>
      </c>
      <c r="I163" s="33" t="s">
        <v>776</v>
      </c>
      <c r="J163" s="51" t="e">
        <f>#REF!*Tablo1[[#This Row],[Esans]]</f>
        <v>#REF!</v>
      </c>
      <c r="K163" s="51" t="e">
        <f>#REF!*Tablo1[[#This Row],[Su]]</f>
        <v>#REF!</v>
      </c>
      <c r="L163" s="51" t="e">
        <f>#REF!*Tablo1[[#This Row],[Alkol]]</f>
        <v>#REF!</v>
      </c>
      <c r="M163" s="44"/>
      <c r="N163" s="51">
        <f>(Tablo1[[#This Row],[KALAN ESANS]]/Tablo1[[#This Row],[Esans]]*0.01)*(Tablo1[[#This Row],[Alkol]]*100)</f>
        <v>0</v>
      </c>
      <c r="O163" s="51">
        <f>(Tablo1[[#This Row],[KALAN ESANS]]/Tablo1[[#This Row],[Esans]]*0.01)*(Tablo1[[#This Row],[Su]]*100)</f>
        <v>0</v>
      </c>
      <c r="P163" s="51">
        <f>Tablo1[[#This Row],[KALAN ESANS]]+Tablo1[[#This Row],[ALKOL Mik]]+Tablo1[[#This Row],[SU Mik]]</f>
        <v>0</v>
      </c>
    </row>
    <row r="164" spans="1:16" ht="15" customHeight="1" x14ac:dyDescent="0.2">
      <c r="A164" s="30" t="s">
        <v>121</v>
      </c>
      <c r="B164" s="36"/>
      <c r="C164" s="31">
        <v>0.15</v>
      </c>
      <c r="D164" s="31">
        <v>0.02</v>
      </c>
      <c r="E164" s="32">
        <f t="shared" si="2"/>
        <v>0.83</v>
      </c>
      <c r="F164" s="33" t="s">
        <v>28</v>
      </c>
      <c r="G164" s="34" t="s">
        <v>768</v>
      </c>
      <c r="H164" s="57" t="e">
        <f>((Tablo1[[#This Row],[Esans Fiyat]]/#REF!*Tablo1[[#This Row],[Esans]]*100)+(#REF!/1000*Tablo1[[#This Row],[Su]]*100)+(#REF!/1000*Tablo1[[#This Row],[Alkol]]*100))*(#REF!/100)+#REF!</f>
        <v>#REF!</v>
      </c>
      <c r="I164" s="33" t="s">
        <v>776</v>
      </c>
      <c r="J164" s="51" t="e">
        <f>#REF!*Tablo1[[#This Row],[Esans]]</f>
        <v>#REF!</v>
      </c>
      <c r="K164" s="51" t="e">
        <f>#REF!*Tablo1[[#This Row],[Su]]</f>
        <v>#REF!</v>
      </c>
      <c r="L164" s="51" t="e">
        <f>#REF!*Tablo1[[#This Row],[Alkol]]</f>
        <v>#REF!</v>
      </c>
      <c r="M164" s="44"/>
      <c r="N164" s="51">
        <f>(Tablo1[[#This Row],[KALAN ESANS]]/Tablo1[[#This Row],[Esans]]*0.01)*(Tablo1[[#This Row],[Alkol]]*100)</f>
        <v>0</v>
      </c>
      <c r="O164" s="51">
        <f>(Tablo1[[#This Row],[KALAN ESANS]]/Tablo1[[#This Row],[Esans]]*0.01)*(Tablo1[[#This Row],[Su]]*100)</f>
        <v>0</v>
      </c>
      <c r="P164" s="51">
        <f>Tablo1[[#This Row],[KALAN ESANS]]+Tablo1[[#This Row],[ALKOL Mik]]+Tablo1[[#This Row],[SU Mik]]</f>
        <v>0</v>
      </c>
    </row>
    <row r="165" spans="1:16" ht="15" customHeight="1" x14ac:dyDescent="0.2">
      <c r="A165" s="30" t="s">
        <v>120</v>
      </c>
      <c r="B165" s="36"/>
      <c r="C165" s="31">
        <v>0.15</v>
      </c>
      <c r="D165" s="31">
        <v>0.02</v>
      </c>
      <c r="E165" s="32">
        <f t="shared" si="2"/>
        <v>0.83</v>
      </c>
      <c r="F165" s="33" t="s">
        <v>28</v>
      </c>
      <c r="G165" s="34" t="s">
        <v>768</v>
      </c>
      <c r="H165" s="57" t="e">
        <f>((Tablo1[[#This Row],[Esans Fiyat]]/#REF!*Tablo1[[#This Row],[Esans]]*100)+(#REF!/1000*Tablo1[[#This Row],[Su]]*100)+(#REF!/1000*Tablo1[[#This Row],[Alkol]]*100))*(#REF!/100)+#REF!</f>
        <v>#REF!</v>
      </c>
      <c r="I165" s="33" t="s">
        <v>776</v>
      </c>
      <c r="J165" s="51" t="e">
        <f>#REF!*Tablo1[[#This Row],[Esans]]</f>
        <v>#REF!</v>
      </c>
      <c r="K165" s="51" t="e">
        <f>#REF!*Tablo1[[#This Row],[Su]]</f>
        <v>#REF!</v>
      </c>
      <c r="L165" s="51" t="e">
        <f>#REF!*Tablo1[[#This Row],[Alkol]]</f>
        <v>#REF!</v>
      </c>
      <c r="M165" s="44"/>
      <c r="N165" s="51">
        <f>(Tablo1[[#This Row],[KALAN ESANS]]/Tablo1[[#This Row],[Esans]]*0.01)*(Tablo1[[#This Row],[Alkol]]*100)</f>
        <v>0</v>
      </c>
      <c r="O165" s="51">
        <f>(Tablo1[[#This Row],[KALAN ESANS]]/Tablo1[[#This Row],[Esans]]*0.01)*(Tablo1[[#This Row],[Su]]*100)</f>
        <v>0</v>
      </c>
      <c r="P165" s="51">
        <f>Tablo1[[#This Row],[KALAN ESANS]]+Tablo1[[#This Row],[ALKOL Mik]]+Tablo1[[#This Row],[SU Mik]]</f>
        <v>0</v>
      </c>
    </row>
    <row r="166" spans="1:16" ht="15" customHeight="1" x14ac:dyDescent="0.2">
      <c r="A166" s="30" t="s">
        <v>119</v>
      </c>
      <c r="B166" s="36"/>
      <c r="C166" s="31">
        <v>0.15</v>
      </c>
      <c r="D166" s="31">
        <v>0</v>
      </c>
      <c r="E166" s="32">
        <f t="shared" si="2"/>
        <v>0.85</v>
      </c>
      <c r="F166" s="33" t="s">
        <v>28</v>
      </c>
      <c r="G166" s="34" t="s">
        <v>768</v>
      </c>
      <c r="H166" s="57" t="e">
        <f>((Tablo1[[#This Row],[Esans Fiyat]]/#REF!*Tablo1[[#This Row],[Esans]]*100)+(#REF!/1000*Tablo1[[#This Row],[Su]]*100)+(#REF!/1000*Tablo1[[#This Row],[Alkol]]*100))*(#REF!/100)+#REF!</f>
        <v>#REF!</v>
      </c>
      <c r="I166" s="33" t="s">
        <v>776</v>
      </c>
      <c r="J166" s="51" t="e">
        <f>#REF!*Tablo1[[#This Row],[Esans]]</f>
        <v>#REF!</v>
      </c>
      <c r="K166" s="51" t="e">
        <f>#REF!*Tablo1[[#This Row],[Su]]</f>
        <v>#REF!</v>
      </c>
      <c r="L166" s="51" t="e">
        <f>#REF!*Tablo1[[#This Row],[Alkol]]</f>
        <v>#REF!</v>
      </c>
      <c r="M166" s="44"/>
      <c r="N166" s="51">
        <f>(Tablo1[[#This Row],[KALAN ESANS]]/Tablo1[[#This Row],[Esans]]*0.01)*(Tablo1[[#This Row],[Alkol]]*100)</f>
        <v>0</v>
      </c>
      <c r="O166" s="51">
        <f>(Tablo1[[#This Row],[KALAN ESANS]]/Tablo1[[#This Row],[Esans]]*0.01)*(Tablo1[[#This Row],[Su]]*100)</f>
        <v>0</v>
      </c>
      <c r="P166" s="51">
        <f>Tablo1[[#This Row],[KALAN ESANS]]+Tablo1[[#This Row],[ALKOL Mik]]+Tablo1[[#This Row],[SU Mik]]</f>
        <v>0</v>
      </c>
    </row>
    <row r="167" spans="1:16" ht="15" customHeight="1" x14ac:dyDescent="0.2">
      <c r="A167" s="30" t="s">
        <v>118</v>
      </c>
      <c r="B167" s="36"/>
      <c r="C167" s="31">
        <v>0.15</v>
      </c>
      <c r="D167" s="31">
        <v>0.02</v>
      </c>
      <c r="E167" s="32">
        <f t="shared" si="2"/>
        <v>0.83</v>
      </c>
      <c r="F167" s="33" t="s">
        <v>28</v>
      </c>
      <c r="G167" s="34" t="s">
        <v>768</v>
      </c>
      <c r="H167" s="57" t="e">
        <f>((Tablo1[[#This Row],[Esans Fiyat]]/#REF!*Tablo1[[#This Row],[Esans]]*100)+(#REF!/1000*Tablo1[[#This Row],[Su]]*100)+(#REF!/1000*Tablo1[[#This Row],[Alkol]]*100))*(#REF!/100)+#REF!</f>
        <v>#REF!</v>
      </c>
      <c r="I167" s="33" t="s">
        <v>774</v>
      </c>
      <c r="J167" s="51" t="e">
        <f>#REF!*Tablo1[[#This Row],[Esans]]</f>
        <v>#REF!</v>
      </c>
      <c r="K167" s="51" t="e">
        <f>#REF!*Tablo1[[#This Row],[Su]]</f>
        <v>#REF!</v>
      </c>
      <c r="L167" s="51" t="e">
        <f>#REF!*Tablo1[[#This Row],[Alkol]]</f>
        <v>#REF!</v>
      </c>
      <c r="M167" s="44"/>
      <c r="N167" s="51">
        <f>(Tablo1[[#This Row],[KALAN ESANS]]/Tablo1[[#This Row],[Esans]]*0.01)*(Tablo1[[#This Row],[Alkol]]*100)</f>
        <v>0</v>
      </c>
      <c r="O167" s="51">
        <f>(Tablo1[[#This Row],[KALAN ESANS]]/Tablo1[[#This Row],[Esans]]*0.01)*(Tablo1[[#This Row],[Su]]*100)</f>
        <v>0</v>
      </c>
      <c r="P167" s="51">
        <f>Tablo1[[#This Row],[KALAN ESANS]]+Tablo1[[#This Row],[ALKOL Mik]]+Tablo1[[#This Row],[SU Mik]]</f>
        <v>0</v>
      </c>
    </row>
    <row r="168" spans="1:16" ht="15" customHeight="1" x14ac:dyDescent="0.2">
      <c r="A168" s="30" t="s">
        <v>117</v>
      </c>
      <c r="B168" s="36"/>
      <c r="C168" s="31">
        <v>0.15</v>
      </c>
      <c r="D168" s="31">
        <v>0.02</v>
      </c>
      <c r="E168" s="32">
        <f t="shared" si="2"/>
        <v>0.83</v>
      </c>
      <c r="F168" s="33" t="s">
        <v>28</v>
      </c>
      <c r="G168" s="34" t="s">
        <v>768</v>
      </c>
      <c r="H168" s="57" t="e">
        <f>((Tablo1[[#This Row],[Esans Fiyat]]/#REF!*Tablo1[[#This Row],[Esans]]*100)+(#REF!/1000*Tablo1[[#This Row],[Su]]*100)+(#REF!/1000*Tablo1[[#This Row],[Alkol]]*100))*(#REF!/100)+#REF!</f>
        <v>#REF!</v>
      </c>
      <c r="I168" s="33" t="s">
        <v>776</v>
      </c>
      <c r="J168" s="51" t="e">
        <f>#REF!*Tablo1[[#This Row],[Esans]]</f>
        <v>#REF!</v>
      </c>
      <c r="K168" s="51" t="e">
        <f>#REF!*Tablo1[[#This Row],[Su]]</f>
        <v>#REF!</v>
      </c>
      <c r="L168" s="51" t="e">
        <f>#REF!*Tablo1[[#This Row],[Alkol]]</f>
        <v>#REF!</v>
      </c>
      <c r="M168" s="44"/>
      <c r="N168" s="51">
        <f>(Tablo1[[#This Row],[KALAN ESANS]]/Tablo1[[#This Row],[Esans]]*0.01)*(Tablo1[[#This Row],[Alkol]]*100)</f>
        <v>0</v>
      </c>
      <c r="O168" s="51">
        <f>(Tablo1[[#This Row],[KALAN ESANS]]/Tablo1[[#This Row],[Esans]]*0.01)*(Tablo1[[#This Row],[Su]]*100)</f>
        <v>0</v>
      </c>
      <c r="P168" s="51">
        <f>Tablo1[[#This Row],[KALAN ESANS]]+Tablo1[[#This Row],[ALKOL Mik]]+Tablo1[[#This Row],[SU Mik]]</f>
        <v>0</v>
      </c>
    </row>
    <row r="169" spans="1:16" ht="15" customHeight="1" x14ac:dyDescent="0.2">
      <c r="A169" s="30" t="s">
        <v>116</v>
      </c>
      <c r="B169" s="36"/>
      <c r="C169" s="31">
        <v>0.15</v>
      </c>
      <c r="D169" s="31">
        <v>0.02</v>
      </c>
      <c r="E169" s="32">
        <f t="shared" si="2"/>
        <v>0.83</v>
      </c>
      <c r="F169" s="33" t="s">
        <v>28</v>
      </c>
      <c r="G169" s="34" t="s">
        <v>768</v>
      </c>
      <c r="H169" s="57" t="e">
        <f>((Tablo1[[#This Row],[Esans Fiyat]]/#REF!*Tablo1[[#This Row],[Esans]]*100)+(#REF!/1000*Tablo1[[#This Row],[Su]]*100)+(#REF!/1000*Tablo1[[#This Row],[Alkol]]*100))*(#REF!/100)+#REF!</f>
        <v>#REF!</v>
      </c>
      <c r="I169" s="33" t="s">
        <v>776</v>
      </c>
      <c r="J169" s="51" t="e">
        <f>#REF!*Tablo1[[#This Row],[Esans]]</f>
        <v>#REF!</v>
      </c>
      <c r="K169" s="51" t="e">
        <f>#REF!*Tablo1[[#This Row],[Su]]</f>
        <v>#REF!</v>
      </c>
      <c r="L169" s="51" t="e">
        <f>#REF!*Tablo1[[#This Row],[Alkol]]</f>
        <v>#REF!</v>
      </c>
      <c r="M169" s="44"/>
      <c r="N169" s="51">
        <f>(Tablo1[[#This Row],[KALAN ESANS]]/Tablo1[[#This Row],[Esans]]*0.01)*(Tablo1[[#This Row],[Alkol]]*100)</f>
        <v>0</v>
      </c>
      <c r="O169" s="51">
        <f>(Tablo1[[#This Row],[KALAN ESANS]]/Tablo1[[#This Row],[Esans]]*0.01)*(Tablo1[[#This Row],[Su]]*100)</f>
        <v>0</v>
      </c>
      <c r="P169" s="51">
        <f>Tablo1[[#This Row],[KALAN ESANS]]+Tablo1[[#This Row],[ALKOL Mik]]+Tablo1[[#This Row],[SU Mik]]</f>
        <v>0</v>
      </c>
    </row>
    <row r="170" spans="1:16" ht="15" customHeight="1" x14ac:dyDescent="0.2">
      <c r="A170" s="30" t="s">
        <v>20</v>
      </c>
      <c r="B170" s="36"/>
      <c r="C170" s="31">
        <v>0.21</v>
      </c>
      <c r="D170" s="31">
        <v>0.02</v>
      </c>
      <c r="E170" s="32">
        <f t="shared" si="2"/>
        <v>0.77</v>
      </c>
      <c r="F170" s="33" t="s">
        <v>25</v>
      </c>
      <c r="G170" s="34" t="s">
        <v>768</v>
      </c>
      <c r="H170" s="57" t="e">
        <f>((Tablo1[[#This Row],[Esans Fiyat]]/#REF!*Tablo1[[#This Row],[Esans]]*100)+(#REF!/1000*Tablo1[[#This Row],[Su]]*100)+(#REF!/1000*Tablo1[[#This Row],[Alkol]]*100))*(#REF!/100)+#REF!</f>
        <v>#REF!</v>
      </c>
      <c r="I170" s="33" t="s">
        <v>772</v>
      </c>
      <c r="J170" s="51" t="e">
        <f>#REF!*Tablo1[[#This Row],[Esans]]</f>
        <v>#REF!</v>
      </c>
      <c r="K170" s="51" t="e">
        <f>#REF!*Tablo1[[#This Row],[Su]]</f>
        <v>#REF!</v>
      </c>
      <c r="L170" s="51" t="e">
        <f>#REF!*Tablo1[[#This Row],[Alkol]]</f>
        <v>#REF!</v>
      </c>
      <c r="M170" s="44"/>
      <c r="N170" s="51">
        <f>(Tablo1[[#This Row],[KALAN ESANS]]/Tablo1[[#This Row],[Esans]]*0.01)*(Tablo1[[#This Row],[Alkol]]*100)</f>
        <v>0</v>
      </c>
      <c r="O170" s="51">
        <f>(Tablo1[[#This Row],[KALAN ESANS]]/Tablo1[[#This Row],[Esans]]*0.01)*(Tablo1[[#This Row],[Su]]*100)</f>
        <v>0</v>
      </c>
      <c r="P170" s="51">
        <f>Tablo1[[#This Row],[KALAN ESANS]]+Tablo1[[#This Row],[ALKOL Mik]]+Tablo1[[#This Row],[SU Mik]]</f>
        <v>0</v>
      </c>
    </row>
    <row r="171" spans="1:16" ht="15" customHeight="1" x14ac:dyDescent="0.2">
      <c r="A171" s="30" t="s">
        <v>115</v>
      </c>
      <c r="B171" s="36"/>
      <c r="C171" s="31">
        <v>0.18</v>
      </c>
      <c r="D171" s="31">
        <v>0.02</v>
      </c>
      <c r="E171" s="32">
        <f t="shared" si="2"/>
        <v>0.8</v>
      </c>
      <c r="F171" s="33" t="s">
        <v>25</v>
      </c>
      <c r="G171" s="34" t="s">
        <v>768</v>
      </c>
      <c r="H171" s="57" t="e">
        <f>((Tablo1[[#This Row],[Esans Fiyat]]/#REF!*Tablo1[[#This Row],[Esans]]*100)+(#REF!/1000*Tablo1[[#This Row],[Su]]*100)+(#REF!/1000*Tablo1[[#This Row],[Alkol]]*100))*(#REF!/100)+#REF!</f>
        <v>#REF!</v>
      </c>
      <c r="I171" s="33" t="s">
        <v>772</v>
      </c>
      <c r="J171" s="51" t="e">
        <f>#REF!*Tablo1[[#This Row],[Esans]]</f>
        <v>#REF!</v>
      </c>
      <c r="K171" s="51" t="e">
        <f>#REF!*Tablo1[[#This Row],[Su]]</f>
        <v>#REF!</v>
      </c>
      <c r="L171" s="51" t="e">
        <f>#REF!*Tablo1[[#This Row],[Alkol]]</f>
        <v>#REF!</v>
      </c>
      <c r="M171" s="44"/>
      <c r="N171" s="51">
        <f>(Tablo1[[#This Row],[KALAN ESANS]]/Tablo1[[#This Row],[Esans]]*0.01)*(Tablo1[[#This Row],[Alkol]]*100)</f>
        <v>0</v>
      </c>
      <c r="O171" s="51">
        <f>(Tablo1[[#This Row],[KALAN ESANS]]/Tablo1[[#This Row],[Esans]]*0.01)*(Tablo1[[#This Row],[Su]]*100)</f>
        <v>0</v>
      </c>
      <c r="P171" s="51">
        <f>Tablo1[[#This Row],[KALAN ESANS]]+Tablo1[[#This Row],[ALKOL Mik]]+Tablo1[[#This Row],[SU Mik]]</f>
        <v>0</v>
      </c>
    </row>
    <row r="172" spans="1:16" ht="15" customHeight="1" x14ac:dyDescent="0.2">
      <c r="A172" s="30" t="s">
        <v>21</v>
      </c>
      <c r="B172" s="36"/>
      <c r="C172" s="31">
        <v>0.15</v>
      </c>
      <c r="D172" s="31">
        <v>0.02</v>
      </c>
      <c r="E172" s="32">
        <f t="shared" si="2"/>
        <v>0.83</v>
      </c>
      <c r="F172" s="33" t="s">
        <v>28</v>
      </c>
      <c r="G172" s="34" t="s">
        <v>768</v>
      </c>
      <c r="H172" s="57" t="e">
        <f>((Tablo1[[#This Row],[Esans Fiyat]]/#REF!*Tablo1[[#This Row],[Esans]]*100)+(#REF!/1000*Tablo1[[#This Row],[Su]]*100)+(#REF!/1000*Tablo1[[#This Row],[Alkol]]*100))*(#REF!/100)+#REF!</f>
        <v>#REF!</v>
      </c>
      <c r="I172" s="33" t="s">
        <v>772</v>
      </c>
      <c r="J172" s="51" t="e">
        <f>#REF!*Tablo1[[#This Row],[Esans]]</f>
        <v>#REF!</v>
      </c>
      <c r="K172" s="51" t="e">
        <f>#REF!*Tablo1[[#This Row],[Su]]</f>
        <v>#REF!</v>
      </c>
      <c r="L172" s="51" t="e">
        <f>#REF!*Tablo1[[#This Row],[Alkol]]</f>
        <v>#REF!</v>
      </c>
      <c r="M172" s="44"/>
      <c r="N172" s="51">
        <f>(Tablo1[[#This Row],[KALAN ESANS]]/Tablo1[[#This Row],[Esans]]*0.01)*(Tablo1[[#This Row],[Alkol]]*100)</f>
        <v>0</v>
      </c>
      <c r="O172" s="51">
        <f>(Tablo1[[#This Row],[KALAN ESANS]]/Tablo1[[#This Row],[Esans]]*0.01)*(Tablo1[[#This Row],[Su]]*100)</f>
        <v>0</v>
      </c>
      <c r="P172" s="51">
        <f>Tablo1[[#This Row],[KALAN ESANS]]+Tablo1[[#This Row],[ALKOL Mik]]+Tablo1[[#This Row],[SU Mik]]</f>
        <v>0</v>
      </c>
    </row>
    <row r="173" spans="1:16" ht="15" customHeight="1" x14ac:dyDescent="0.2">
      <c r="A173" s="30" t="s">
        <v>114</v>
      </c>
      <c r="B173" s="36"/>
      <c r="C173" s="31">
        <v>0.27</v>
      </c>
      <c r="D173" s="31">
        <v>0.02</v>
      </c>
      <c r="E173" s="32">
        <f t="shared" si="2"/>
        <v>0.71</v>
      </c>
      <c r="F173" s="33" t="s">
        <v>779</v>
      </c>
      <c r="G173" s="34" t="s">
        <v>768</v>
      </c>
      <c r="H173" s="57" t="e">
        <f>((Tablo1[[#This Row],[Esans Fiyat]]/#REF!*Tablo1[[#This Row],[Esans]]*100)+(#REF!/1000*Tablo1[[#This Row],[Su]]*100)+(#REF!/1000*Tablo1[[#This Row],[Alkol]]*100))*(#REF!/100)+#REF!</f>
        <v>#REF!</v>
      </c>
      <c r="I173" s="33" t="s">
        <v>772</v>
      </c>
      <c r="J173" s="51" t="e">
        <f>#REF!*Tablo1[[#This Row],[Esans]]</f>
        <v>#REF!</v>
      </c>
      <c r="K173" s="51" t="e">
        <f>#REF!*Tablo1[[#This Row],[Su]]</f>
        <v>#REF!</v>
      </c>
      <c r="L173" s="51" t="e">
        <f>#REF!*Tablo1[[#This Row],[Alkol]]</f>
        <v>#REF!</v>
      </c>
      <c r="M173" s="44"/>
      <c r="N173" s="51">
        <f>(Tablo1[[#This Row],[KALAN ESANS]]/Tablo1[[#This Row],[Esans]]*0.01)*(Tablo1[[#This Row],[Alkol]]*100)</f>
        <v>0</v>
      </c>
      <c r="O173" s="51">
        <f>(Tablo1[[#This Row],[KALAN ESANS]]/Tablo1[[#This Row],[Esans]]*0.01)*(Tablo1[[#This Row],[Su]]*100)</f>
        <v>0</v>
      </c>
      <c r="P173" s="51">
        <f>Tablo1[[#This Row],[KALAN ESANS]]+Tablo1[[#This Row],[ALKOL Mik]]+Tablo1[[#This Row],[SU Mik]]</f>
        <v>0</v>
      </c>
    </row>
    <row r="174" spans="1:16" ht="15" customHeight="1" x14ac:dyDescent="0.2">
      <c r="A174" s="30" t="s">
        <v>113</v>
      </c>
      <c r="B174" s="36"/>
      <c r="C174" s="31">
        <v>0.15</v>
      </c>
      <c r="D174" s="31">
        <v>0.02</v>
      </c>
      <c r="E174" s="32">
        <f t="shared" si="2"/>
        <v>0.83</v>
      </c>
      <c r="F174" s="33" t="s">
        <v>28</v>
      </c>
      <c r="G174" s="34" t="s">
        <v>768</v>
      </c>
      <c r="H174" s="57" t="e">
        <f>((Tablo1[[#This Row],[Esans Fiyat]]/#REF!*Tablo1[[#This Row],[Esans]]*100)+(#REF!/1000*Tablo1[[#This Row],[Su]]*100)+(#REF!/1000*Tablo1[[#This Row],[Alkol]]*100))*(#REF!/100)+#REF!</f>
        <v>#REF!</v>
      </c>
      <c r="I174" s="33" t="s">
        <v>776</v>
      </c>
      <c r="J174" s="51" t="e">
        <f>#REF!*Tablo1[[#This Row],[Esans]]</f>
        <v>#REF!</v>
      </c>
      <c r="K174" s="51" t="e">
        <f>#REF!*Tablo1[[#This Row],[Su]]</f>
        <v>#REF!</v>
      </c>
      <c r="L174" s="51" t="e">
        <f>#REF!*Tablo1[[#This Row],[Alkol]]</f>
        <v>#REF!</v>
      </c>
      <c r="M174" s="44"/>
      <c r="N174" s="51">
        <f>(Tablo1[[#This Row],[KALAN ESANS]]/Tablo1[[#This Row],[Esans]]*0.01)*(Tablo1[[#This Row],[Alkol]]*100)</f>
        <v>0</v>
      </c>
      <c r="O174" s="51">
        <f>(Tablo1[[#This Row],[KALAN ESANS]]/Tablo1[[#This Row],[Esans]]*0.01)*(Tablo1[[#This Row],[Su]]*100)</f>
        <v>0</v>
      </c>
      <c r="P174" s="51">
        <f>Tablo1[[#This Row],[KALAN ESANS]]+Tablo1[[#This Row],[ALKOL Mik]]+Tablo1[[#This Row],[SU Mik]]</f>
        <v>0</v>
      </c>
    </row>
    <row r="175" spans="1:16" ht="15" customHeight="1" x14ac:dyDescent="0.2">
      <c r="A175" s="30" t="s">
        <v>111</v>
      </c>
      <c r="B175" s="36"/>
      <c r="C175" s="31">
        <v>0.2</v>
      </c>
      <c r="D175" s="31">
        <v>0.02</v>
      </c>
      <c r="E175" s="32">
        <f t="shared" si="2"/>
        <v>0.78</v>
      </c>
      <c r="F175" s="33" t="s">
        <v>25</v>
      </c>
      <c r="G175" s="34" t="s">
        <v>768</v>
      </c>
      <c r="H175" s="57" t="e">
        <f>((Tablo1[[#This Row],[Esans Fiyat]]/#REF!*Tablo1[[#This Row],[Esans]]*100)+(#REF!/1000*Tablo1[[#This Row],[Su]]*100)+(#REF!/1000*Tablo1[[#This Row],[Alkol]]*100))*(#REF!/100)+#REF!</f>
        <v>#REF!</v>
      </c>
      <c r="I175" s="33" t="s">
        <v>776</v>
      </c>
      <c r="J175" s="51" t="e">
        <f>#REF!*Tablo1[[#This Row],[Esans]]</f>
        <v>#REF!</v>
      </c>
      <c r="K175" s="51" t="e">
        <f>#REF!*Tablo1[[#This Row],[Su]]</f>
        <v>#REF!</v>
      </c>
      <c r="L175" s="51" t="e">
        <f>#REF!*Tablo1[[#This Row],[Alkol]]</f>
        <v>#REF!</v>
      </c>
      <c r="M175" s="44"/>
      <c r="N175" s="51">
        <f>(Tablo1[[#This Row],[KALAN ESANS]]/Tablo1[[#This Row],[Esans]]*0.01)*(Tablo1[[#This Row],[Alkol]]*100)</f>
        <v>0</v>
      </c>
      <c r="O175" s="51">
        <f>(Tablo1[[#This Row],[KALAN ESANS]]/Tablo1[[#This Row],[Esans]]*0.01)*(Tablo1[[#This Row],[Su]]*100)</f>
        <v>0</v>
      </c>
      <c r="P175" s="51">
        <f>Tablo1[[#This Row],[KALAN ESANS]]+Tablo1[[#This Row],[ALKOL Mik]]+Tablo1[[#This Row],[SU Mik]]</f>
        <v>0</v>
      </c>
    </row>
    <row r="176" spans="1:16" ht="15" customHeight="1" x14ac:dyDescent="0.2">
      <c r="A176" s="30" t="s">
        <v>112</v>
      </c>
      <c r="B176" s="36"/>
      <c r="C176" s="31">
        <v>0.2</v>
      </c>
      <c r="D176" s="31">
        <v>0.02</v>
      </c>
      <c r="E176" s="32">
        <f t="shared" si="2"/>
        <v>0.78</v>
      </c>
      <c r="F176" s="33" t="s">
        <v>25</v>
      </c>
      <c r="G176" s="34" t="s">
        <v>768</v>
      </c>
      <c r="H176" s="57" t="e">
        <f>((Tablo1[[#This Row],[Esans Fiyat]]/#REF!*Tablo1[[#This Row],[Esans]]*100)+(#REF!/1000*Tablo1[[#This Row],[Su]]*100)+(#REF!/1000*Tablo1[[#This Row],[Alkol]]*100))*(#REF!/100)+#REF!</f>
        <v>#REF!</v>
      </c>
      <c r="I176" s="33" t="s">
        <v>776</v>
      </c>
      <c r="J176" s="51" t="e">
        <f>#REF!*Tablo1[[#This Row],[Esans]]</f>
        <v>#REF!</v>
      </c>
      <c r="K176" s="51" t="e">
        <f>#REF!*Tablo1[[#This Row],[Su]]</f>
        <v>#REF!</v>
      </c>
      <c r="L176" s="51" t="e">
        <f>#REF!*Tablo1[[#This Row],[Alkol]]</f>
        <v>#REF!</v>
      </c>
      <c r="M176" s="44"/>
      <c r="N176" s="51">
        <f>(Tablo1[[#This Row],[KALAN ESANS]]/Tablo1[[#This Row],[Esans]]*0.01)*(Tablo1[[#This Row],[Alkol]]*100)</f>
        <v>0</v>
      </c>
      <c r="O176" s="51">
        <f>(Tablo1[[#This Row],[KALAN ESANS]]/Tablo1[[#This Row],[Esans]]*0.01)*(Tablo1[[#This Row],[Su]]*100)</f>
        <v>0</v>
      </c>
      <c r="P176" s="51">
        <f>Tablo1[[#This Row],[KALAN ESANS]]+Tablo1[[#This Row],[ALKOL Mik]]+Tablo1[[#This Row],[SU Mik]]</f>
        <v>0</v>
      </c>
    </row>
    <row r="177" spans="1:16" ht="15" customHeight="1" x14ac:dyDescent="0.2">
      <c r="A177" s="30" t="s">
        <v>47</v>
      </c>
      <c r="B177" s="36"/>
      <c r="C177" s="31">
        <v>0.15</v>
      </c>
      <c r="D177" s="31">
        <v>0.02</v>
      </c>
      <c r="E177" s="32">
        <f t="shared" si="2"/>
        <v>0.83</v>
      </c>
      <c r="F177" s="33" t="s">
        <v>28</v>
      </c>
      <c r="G177" s="34" t="s">
        <v>768</v>
      </c>
      <c r="H177" s="57" t="e">
        <f>((Tablo1[[#This Row],[Esans Fiyat]]/#REF!*Tablo1[[#This Row],[Esans]]*100)+(#REF!/1000*Tablo1[[#This Row],[Su]]*100)+(#REF!/1000*Tablo1[[#This Row],[Alkol]]*100))*(#REF!/100)+#REF!</f>
        <v>#REF!</v>
      </c>
      <c r="I177" s="33" t="s">
        <v>776</v>
      </c>
      <c r="J177" s="51" t="e">
        <f>#REF!*Tablo1[[#This Row],[Esans]]</f>
        <v>#REF!</v>
      </c>
      <c r="K177" s="51" t="e">
        <f>#REF!*Tablo1[[#This Row],[Su]]</f>
        <v>#REF!</v>
      </c>
      <c r="L177" s="51" t="e">
        <f>#REF!*Tablo1[[#This Row],[Alkol]]</f>
        <v>#REF!</v>
      </c>
      <c r="M177" s="44"/>
      <c r="N177" s="51">
        <f>(Tablo1[[#This Row],[KALAN ESANS]]/Tablo1[[#This Row],[Esans]]*0.01)*(Tablo1[[#This Row],[Alkol]]*100)</f>
        <v>0</v>
      </c>
      <c r="O177" s="51">
        <f>(Tablo1[[#This Row],[KALAN ESANS]]/Tablo1[[#This Row],[Esans]]*0.01)*(Tablo1[[#This Row],[Su]]*100)</f>
        <v>0</v>
      </c>
      <c r="P177" s="51">
        <f>Tablo1[[#This Row],[KALAN ESANS]]+Tablo1[[#This Row],[ALKOL Mik]]+Tablo1[[#This Row],[SU Mik]]</f>
        <v>0</v>
      </c>
    </row>
    <row r="178" spans="1:16" ht="15" customHeight="1" x14ac:dyDescent="0.2">
      <c r="A178" s="30" t="s">
        <v>110</v>
      </c>
      <c r="B178" s="36"/>
      <c r="C178" s="31">
        <v>0.15</v>
      </c>
      <c r="D178" s="31">
        <v>0.02</v>
      </c>
      <c r="E178" s="32">
        <f t="shared" si="2"/>
        <v>0.83</v>
      </c>
      <c r="F178" s="33" t="s">
        <v>28</v>
      </c>
      <c r="G178" s="34" t="s">
        <v>768</v>
      </c>
      <c r="H178" s="57" t="e">
        <f>((Tablo1[[#This Row],[Esans Fiyat]]/#REF!*Tablo1[[#This Row],[Esans]]*100)+(#REF!/1000*Tablo1[[#This Row],[Su]]*100)+(#REF!/1000*Tablo1[[#This Row],[Alkol]]*100))*(#REF!/100)+#REF!</f>
        <v>#REF!</v>
      </c>
      <c r="I178" s="33" t="s">
        <v>776</v>
      </c>
      <c r="J178" s="51" t="e">
        <f>#REF!*Tablo1[[#This Row],[Esans]]</f>
        <v>#REF!</v>
      </c>
      <c r="K178" s="51" t="e">
        <f>#REF!*Tablo1[[#This Row],[Su]]</f>
        <v>#REF!</v>
      </c>
      <c r="L178" s="51" t="e">
        <f>#REF!*Tablo1[[#This Row],[Alkol]]</f>
        <v>#REF!</v>
      </c>
      <c r="M178" s="44"/>
      <c r="N178" s="51">
        <f>(Tablo1[[#This Row],[KALAN ESANS]]/Tablo1[[#This Row],[Esans]]*0.01)*(Tablo1[[#This Row],[Alkol]]*100)</f>
        <v>0</v>
      </c>
      <c r="O178" s="51">
        <f>(Tablo1[[#This Row],[KALAN ESANS]]/Tablo1[[#This Row],[Esans]]*0.01)*(Tablo1[[#This Row],[Su]]*100)</f>
        <v>0</v>
      </c>
      <c r="P178" s="51">
        <f>Tablo1[[#This Row],[KALAN ESANS]]+Tablo1[[#This Row],[ALKOL Mik]]+Tablo1[[#This Row],[SU Mik]]</f>
        <v>0</v>
      </c>
    </row>
    <row r="179" spans="1:16" ht="15" customHeight="1" x14ac:dyDescent="0.2">
      <c r="A179" s="30" t="s">
        <v>109</v>
      </c>
      <c r="B179" s="36"/>
      <c r="C179" s="31">
        <v>0.17</v>
      </c>
      <c r="D179" s="31">
        <v>0.02</v>
      </c>
      <c r="E179" s="32">
        <f t="shared" si="2"/>
        <v>0.80999999999999994</v>
      </c>
      <c r="F179" s="33" t="s">
        <v>25</v>
      </c>
      <c r="G179" s="34" t="s">
        <v>768</v>
      </c>
      <c r="H179" s="57" t="e">
        <f>((Tablo1[[#This Row],[Esans Fiyat]]/#REF!*Tablo1[[#This Row],[Esans]]*100)+(#REF!/1000*Tablo1[[#This Row],[Su]]*100)+(#REF!/1000*Tablo1[[#This Row],[Alkol]]*100))*(#REF!/100)+#REF!</f>
        <v>#REF!</v>
      </c>
      <c r="I179" s="33" t="s">
        <v>772</v>
      </c>
      <c r="J179" s="51" t="e">
        <f>#REF!*Tablo1[[#This Row],[Esans]]</f>
        <v>#REF!</v>
      </c>
      <c r="K179" s="51" t="e">
        <f>#REF!*Tablo1[[#This Row],[Su]]</f>
        <v>#REF!</v>
      </c>
      <c r="L179" s="51" t="e">
        <f>#REF!*Tablo1[[#This Row],[Alkol]]</f>
        <v>#REF!</v>
      </c>
      <c r="M179" s="44"/>
      <c r="N179" s="51">
        <f>(Tablo1[[#This Row],[KALAN ESANS]]/Tablo1[[#This Row],[Esans]]*0.01)*(Tablo1[[#This Row],[Alkol]]*100)</f>
        <v>0</v>
      </c>
      <c r="O179" s="51">
        <f>(Tablo1[[#This Row],[KALAN ESANS]]/Tablo1[[#This Row],[Esans]]*0.01)*(Tablo1[[#This Row],[Su]]*100)</f>
        <v>0</v>
      </c>
      <c r="P179" s="51">
        <f>Tablo1[[#This Row],[KALAN ESANS]]+Tablo1[[#This Row],[ALKOL Mik]]+Tablo1[[#This Row],[SU Mik]]</f>
        <v>0</v>
      </c>
    </row>
    <row r="180" spans="1:16" ht="15" customHeight="1" x14ac:dyDescent="0.2">
      <c r="A180" s="30" t="s">
        <v>107</v>
      </c>
      <c r="B180" s="36"/>
      <c r="C180" s="31">
        <v>0.15</v>
      </c>
      <c r="D180" s="31">
        <v>0.02</v>
      </c>
      <c r="E180" s="32">
        <f t="shared" si="2"/>
        <v>0.83</v>
      </c>
      <c r="F180" s="33" t="s">
        <v>28</v>
      </c>
      <c r="G180" s="34" t="s">
        <v>768</v>
      </c>
      <c r="H180" s="57" t="e">
        <f>((Tablo1[[#This Row],[Esans Fiyat]]/#REF!*Tablo1[[#This Row],[Esans]]*100)+(#REF!/1000*Tablo1[[#This Row],[Su]]*100)+(#REF!/1000*Tablo1[[#This Row],[Alkol]]*100))*(#REF!/100)+#REF!</f>
        <v>#REF!</v>
      </c>
      <c r="I180" s="33" t="s">
        <v>776</v>
      </c>
      <c r="J180" s="51" t="e">
        <f>#REF!*Tablo1[[#This Row],[Esans]]</f>
        <v>#REF!</v>
      </c>
      <c r="K180" s="51" t="e">
        <f>#REF!*Tablo1[[#This Row],[Su]]</f>
        <v>#REF!</v>
      </c>
      <c r="L180" s="51" t="e">
        <f>#REF!*Tablo1[[#This Row],[Alkol]]</f>
        <v>#REF!</v>
      </c>
      <c r="M180" s="44"/>
      <c r="N180" s="51">
        <f>(Tablo1[[#This Row],[KALAN ESANS]]/Tablo1[[#This Row],[Esans]]*0.01)*(Tablo1[[#This Row],[Alkol]]*100)</f>
        <v>0</v>
      </c>
      <c r="O180" s="51">
        <f>(Tablo1[[#This Row],[KALAN ESANS]]/Tablo1[[#This Row],[Esans]]*0.01)*(Tablo1[[#This Row],[Su]]*100)</f>
        <v>0</v>
      </c>
      <c r="P180" s="51">
        <f>Tablo1[[#This Row],[KALAN ESANS]]+Tablo1[[#This Row],[ALKOL Mik]]+Tablo1[[#This Row],[SU Mik]]</f>
        <v>0</v>
      </c>
    </row>
    <row r="181" spans="1:16" ht="15" customHeight="1" x14ac:dyDescent="0.2">
      <c r="A181" s="30" t="s">
        <v>108</v>
      </c>
      <c r="B181" s="36"/>
      <c r="C181" s="31">
        <v>0.11</v>
      </c>
      <c r="D181" s="31">
        <v>0.02</v>
      </c>
      <c r="E181" s="32">
        <f t="shared" si="2"/>
        <v>0.87</v>
      </c>
      <c r="F181" s="33" t="s">
        <v>28</v>
      </c>
      <c r="G181" s="34" t="s">
        <v>768</v>
      </c>
      <c r="H181" s="57" t="e">
        <f>((Tablo1[[#This Row],[Esans Fiyat]]/#REF!*Tablo1[[#This Row],[Esans]]*100)+(#REF!/1000*Tablo1[[#This Row],[Su]]*100)+(#REF!/1000*Tablo1[[#This Row],[Alkol]]*100))*(#REF!/100)+#REF!</f>
        <v>#REF!</v>
      </c>
      <c r="I181" s="33" t="s">
        <v>772</v>
      </c>
      <c r="J181" s="51" t="e">
        <f>#REF!*Tablo1[[#This Row],[Esans]]</f>
        <v>#REF!</v>
      </c>
      <c r="K181" s="51" t="e">
        <f>#REF!*Tablo1[[#This Row],[Su]]</f>
        <v>#REF!</v>
      </c>
      <c r="L181" s="51" t="e">
        <f>#REF!*Tablo1[[#This Row],[Alkol]]</f>
        <v>#REF!</v>
      </c>
      <c r="M181" s="44"/>
      <c r="N181" s="51">
        <f>(Tablo1[[#This Row],[KALAN ESANS]]/Tablo1[[#This Row],[Esans]]*0.01)*(Tablo1[[#This Row],[Alkol]]*100)</f>
        <v>0</v>
      </c>
      <c r="O181" s="51">
        <f>(Tablo1[[#This Row],[KALAN ESANS]]/Tablo1[[#This Row],[Esans]]*0.01)*(Tablo1[[#This Row],[Su]]*100)</f>
        <v>0</v>
      </c>
      <c r="P181" s="51">
        <f>Tablo1[[#This Row],[KALAN ESANS]]+Tablo1[[#This Row],[ALKOL Mik]]+Tablo1[[#This Row],[SU Mik]]</f>
        <v>0</v>
      </c>
    </row>
    <row r="182" spans="1:16" ht="15" customHeight="1" x14ac:dyDescent="0.2">
      <c r="A182" s="30" t="s">
        <v>106</v>
      </c>
      <c r="B182" s="36"/>
      <c r="C182" s="31">
        <v>0.2</v>
      </c>
      <c r="D182" s="31">
        <v>0.02</v>
      </c>
      <c r="E182" s="32">
        <f t="shared" si="2"/>
        <v>0.78</v>
      </c>
      <c r="F182" s="33" t="s">
        <v>25</v>
      </c>
      <c r="G182" s="34" t="s">
        <v>768</v>
      </c>
      <c r="H182" s="57" t="e">
        <f>((Tablo1[[#This Row],[Esans Fiyat]]/#REF!*Tablo1[[#This Row],[Esans]]*100)+(#REF!/1000*Tablo1[[#This Row],[Su]]*100)+(#REF!/1000*Tablo1[[#This Row],[Alkol]]*100))*(#REF!/100)+#REF!</f>
        <v>#REF!</v>
      </c>
      <c r="I182" s="33" t="s">
        <v>772</v>
      </c>
      <c r="J182" s="51" t="e">
        <f>#REF!*Tablo1[[#This Row],[Esans]]</f>
        <v>#REF!</v>
      </c>
      <c r="K182" s="51" t="e">
        <f>#REF!*Tablo1[[#This Row],[Su]]</f>
        <v>#REF!</v>
      </c>
      <c r="L182" s="51" t="e">
        <f>#REF!*Tablo1[[#This Row],[Alkol]]</f>
        <v>#REF!</v>
      </c>
      <c r="M182" s="44"/>
      <c r="N182" s="51">
        <f>(Tablo1[[#This Row],[KALAN ESANS]]/Tablo1[[#This Row],[Esans]]*0.01)*(Tablo1[[#This Row],[Alkol]]*100)</f>
        <v>0</v>
      </c>
      <c r="O182" s="51">
        <f>(Tablo1[[#This Row],[KALAN ESANS]]/Tablo1[[#This Row],[Esans]]*0.01)*(Tablo1[[#This Row],[Su]]*100)</f>
        <v>0</v>
      </c>
      <c r="P182" s="51">
        <f>Tablo1[[#This Row],[KALAN ESANS]]+Tablo1[[#This Row],[ALKOL Mik]]+Tablo1[[#This Row],[SU Mik]]</f>
        <v>0</v>
      </c>
    </row>
    <row r="183" spans="1:16" ht="15" customHeight="1" x14ac:dyDescent="0.2">
      <c r="A183" s="30" t="s">
        <v>105</v>
      </c>
      <c r="B183" s="36"/>
      <c r="C183" s="31">
        <v>0.22</v>
      </c>
      <c r="D183" s="31">
        <v>0.02</v>
      </c>
      <c r="E183" s="32">
        <f t="shared" si="2"/>
        <v>0.76</v>
      </c>
      <c r="F183" s="33" t="s">
        <v>25</v>
      </c>
      <c r="G183" s="34" t="s">
        <v>768</v>
      </c>
      <c r="H183" s="57" t="e">
        <f>((Tablo1[[#This Row],[Esans Fiyat]]/#REF!*Tablo1[[#This Row],[Esans]]*100)+(#REF!/1000*Tablo1[[#This Row],[Su]]*100)+(#REF!/1000*Tablo1[[#This Row],[Alkol]]*100))*(#REF!/100)+#REF!</f>
        <v>#REF!</v>
      </c>
      <c r="I183" s="33" t="s">
        <v>772</v>
      </c>
      <c r="J183" s="51" t="e">
        <f>#REF!*Tablo1[[#This Row],[Esans]]</f>
        <v>#REF!</v>
      </c>
      <c r="K183" s="51" t="e">
        <f>#REF!*Tablo1[[#This Row],[Su]]</f>
        <v>#REF!</v>
      </c>
      <c r="L183" s="51" t="e">
        <f>#REF!*Tablo1[[#This Row],[Alkol]]</f>
        <v>#REF!</v>
      </c>
      <c r="M183" s="44"/>
      <c r="N183" s="51">
        <f>(Tablo1[[#This Row],[KALAN ESANS]]/Tablo1[[#This Row],[Esans]]*0.01)*(Tablo1[[#This Row],[Alkol]]*100)</f>
        <v>0</v>
      </c>
      <c r="O183" s="51">
        <f>(Tablo1[[#This Row],[KALAN ESANS]]/Tablo1[[#This Row],[Esans]]*0.01)*(Tablo1[[#This Row],[Su]]*100)</f>
        <v>0</v>
      </c>
      <c r="P183" s="51">
        <f>Tablo1[[#This Row],[KALAN ESANS]]+Tablo1[[#This Row],[ALKOL Mik]]+Tablo1[[#This Row],[SU Mik]]</f>
        <v>0</v>
      </c>
    </row>
    <row r="184" spans="1:16" ht="15" customHeight="1" x14ac:dyDescent="0.2">
      <c r="A184" s="30" t="s">
        <v>45</v>
      </c>
      <c r="B184" s="36"/>
      <c r="C184" s="31">
        <v>0.2</v>
      </c>
      <c r="D184" s="31">
        <v>0.02</v>
      </c>
      <c r="E184" s="32">
        <f t="shared" si="2"/>
        <v>0.78</v>
      </c>
      <c r="F184" s="33" t="s">
        <v>25</v>
      </c>
      <c r="G184" s="34" t="s">
        <v>768</v>
      </c>
      <c r="H184" s="57" t="e">
        <f>((Tablo1[[#This Row],[Esans Fiyat]]/#REF!*Tablo1[[#This Row],[Esans]]*100)+(#REF!/1000*Tablo1[[#This Row],[Su]]*100)+(#REF!/1000*Tablo1[[#This Row],[Alkol]]*100))*(#REF!/100)+#REF!</f>
        <v>#REF!</v>
      </c>
      <c r="I184" s="33" t="s">
        <v>776</v>
      </c>
      <c r="J184" s="51" t="e">
        <f>#REF!*Tablo1[[#This Row],[Esans]]</f>
        <v>#REF!</v>
      </c>
      <c r="K184" s="51" t="e">
        <f>#REF!*Tablo1[[#This Row],[Su]]</f>
        <v>#REF!</v>
      </c>
      <c r="L184" s="51" t="e">
        <f>#REF!*Tablo1[[#This Row],[Alkol]]</f>
        <v>#REF!</v>
      </c>
      <c r="M184" s="44"/>
      <c r="N184" s="51">
        <f>(Tablo1[[#This Row],[KALAN ESANS]]/Tablo1[[#This Row],[Esans]]*0.01)*(Tablo1[[#This Row],[Alkol]]*100)</f>
        <v>0</v>
      </c>
      <c r="O184" s="51">
        <f>(Tablo1[[#This Row],[KALAN ESANS]]/Tablo1[[#This Row],[Esans]]*0.01)*(Tablo1[[#This Row],[Su]]*100)</f>
        <v>0</v>
      </c>
      <c r="P184" s="51">
        <f>Tablo1[[#This Row],[KALAN ESANS]]+Tablo1[[#This Row],[ALKOL Mik]]+Tablo1[[#This Row],[SU Mik]]</f>
        <v>0</v>
      </c>
    </row>
    <row r="185" spans="1:16" ht="15" customHeight="1" x14ac:dyDescent="0.2">
      <c r="A185" s="30" t="s">
        <v>99</v>
      </c>
      <c r="B185" s="36"/>
      <c r="C185" s="31">
        <v>0.15</v>
      </c>
      <c r="D185" s="31">
        <v>0.02</v>
      </c>
      <c r="E185" s="32">
        <f t="shared" si="2"/>
        <v>0.83</v>
      </c>
      <c r="F185" s="33" t="s">
        <v>28</v>
      </c>
      <c r="G185" s="34" t="s">
        <v>768</v>
      </c>
      <c r="H185" s="57" t="e">
        <f>((Tablo1[[#This Row],[Esans Fiyat]]/#REF!*Tablo1[[#This Row],[Esans]]*100)+(#REF!/1000*Tablo1[[#This Row],[Su]]*100)+(#REF!/1000*Tablo1[[#This Row],[Alkol]]*100))*(#REF!/100)+#REF!</f>
        <v>#REF!</v>
      </c>
      <c r="I185" s="33" t="s">
        <v>776</v>
      </c>
      <c r="J185" s="51" t="e">
        <f>#REF!*Tablo1[[#This Row],[Esans]]</f>
        <v>#REF!</v>
      </c>
      <c r="K185" s="51" t="e">
        <f>#REF!*Tablo1[[#This Row],[Su]]</f>
        <v>#REF!</v>
      </c>
      <c r="L185" s="51" t="e">
        <f>#REF!*Tablo1[[#This Row],[Alkol]]</f>
        <v>#REF!</v>
      </c>
      <c r="M185" s="44"/>
      <c r="N185" s="51">
        <f>(Tablo1[[#This Row],[KALAN ESANS]]/Tablo1[[#This Row],[Esans]]*0.01)*(Tablo1[[#This Row],[Alkol]]*100)</f>
        <v>0</v>
      </c>
      <c r="O185" s="51">
        <f>(Tablo1[[#This Row],[KALAN ESANS]]/Tablo1[[#This Row],[Esans]]*0.01)*(Tablo1[[#This Row],[Su]]*100)</f>
        <v>0</v>
      </c>
      <c r="P185" s="51">
        <f>Tablo1[[#This Row],[KALAN ESANS]]+Tablo1[[#This Row],[ALKOL Mik]]+Tablo1[[#This Row],[SU Mik]]</f>
        <v>0</v>
      </c>
    </row>
    <row r="186" spans="1:16" ht="15" customHeight="1" x14ac:dyDescent="0.2">
      <c r="A186" s="30" t="s">
        <v>104</v>
      </c>
      <c r="B186" s="36"/>
      <c r="C186" s="31">
        <v>0.11</v>
      </c>
      <c r="D186" s="31">
        <v>0.02</v>
      </c>
      <c r="E186" s="32">
        <f t="shared" si="2"/>
        <v>0.87</v>
      </c>
      <c r="F186" s="33" t="s">
        <v>28</v>
      </c>
      <c r="G186" s="34" t="s">
        <v>768</v>
      </c>
      <c r="H186" s="57" t="e">
        <f>((Tablo1[[#This Row],[Esans Fiyat]]/#REF!*Tablo1[[#This Row],[Esans]]*100)+(#REF!/1000*Tablo1[[#This Row],[Su]]*100)+(#REF!/1000*Tablo1[[#This Row],[Alkol]]*100))*(#REF!/100)+#REF!</f>
        <v>#REF!</v>
      </c>
      <c r="I186" s="33" t="s">
        <v>772</v>
      </c>
      <c r="J186" s="51" t="e">
        <f>#REF!*Tablo1[[#This Row],[Esans]]</f>
        <v>#REF!</v>
      </c>
      <c r="K186" s="51" t="e">
        <f>#REF!*Tablo1[[#This Row],[Su]]</f>
        <v>#REF!</v>
      </c>
      <c r="L186" s="51" t="e">
        <f>#REF!*Tablo1[[#This Row],[Alkol]]</f>
        <v>#REF!</v>
      </c>
      <c r="M186" s="44"/>
      <c r="N186" s="51">
        <f>(Tablo1[[#This Row],[KALAN ESANS]]/Tablo1[[#This Row],[Esans]]*0.01)*(Tablo1[[#This Row],[Alkol]]*100)</f>
        <v>0</v>
      </c>
      <c r="O186" s="51">
        <f>(Tablo1[[#This Row],[KALAN ESANS]]/Tablo1[[#This Row],[Esans]]*0.01)*(Tablo1[[#This Row],[Su]]*100)</f>
        <v>0</v>
      </c>
      <c r="P186" s="51">
        <f>Tablo1[[#This Row],[KALAN ESANS]]+Tablo1[[#This Row],[ALKOL Mik]]+Tablo1[[#This Row],[SU Mik]]</f>
        <v>0</v>
      </c>
    </row>
    <row r="187" spans="1:16" ht="15" customHeight="1" x14ac:dyDescent="0.2">
      <c r="A187" s="30" t="s">
        <v>103</v>
      </c>
      <c r="B187" s="36"/>
      <c r="C187" s="31">
        <v>0.12</v>
      </c>
      <c r="D187" s="31">
        <v>0.02</v>
      </c>
      <c r="E187" s="32">
        <f t="shared" si="2"/>
        <v>0.86</v>
      </c>
      <c r="F187" s="33" t="s">
        <v>25</v>
      </c>
      <c r="G187" s="34" t="s">
        <v>768</v>
      </c>
      <c r="H187" s="57" t="e">
        <f>((Tablo1[[#This Row],[Esans Fiyat]]/#REF!*Tablo1[[#This Row],[Esans]]*100)+(#REF!/1000*Tablo1[[#This Row],[Su]]*100)+(#REF!/1000*Tablo1[[#This Row],[Alkol]]*100))*(#REF!/100)+#REF!</f>
        <v>#REF!</v>
      </c>
      <c r="I187" s="33" t="s">
        <v>772</v>
      </c>
      <c r="J187" s="51" t="e">
        <f>#REF!*Tablo1[[#This Row],[Esans]]</f>
        <v>#REF!</v>
      </c>
      <c r="K187" s="51" t="e">
        <f>#REF!*Tablo1[[#This Row],[Su]]</f>
        <v>#REF!</v>
      </c>
      <c r="L187" s="51" t="e">
        <f>#REF!*Tablo1[[#This Row],[Alkol]]</f>
        <v>#REF!</v>
      </c>
      <c r="M187" s="44"/>
      <c r="N187" s="51">
        <f>(Tablo1[[#This Row],[KALAN ESANS]]/Tablo1[[#This Row],[Esans]]*0.01)*(Tablo1[[#This Row],[Alkol]]*100)</f>
        <v>0</v>
      </c>
      <c r="O187" s="51">
        <f>(Tablo1[[#This Row],[KALAN ESANS]]/Tablo1[[#This Row],[Esans]]*0.01)*(Tablo1[[#This Row],[Su]]*100)</f>
        <v>0</v>
      </c>
      <c r="P187" s="51">
        <f>Tablo1[[#This Row],[KALAN ESANS]]+Tablo1[[#This Row],[ALKOL Mik]]+Tablo1[[#This Row],[SU Mik]]</f>
        <v>0</v>
      </c>
    </row>
    <row r="188" spans="1:16" ht="15" customHeight="1" x14ac:dyDescent="0.2">
      <c r="A188" s="30" t="s">
        <v>100</v>
      </c>
      <c r="B188" s="36"/>
      <c r="C188" s="31">
        <v>0.2</v>
      </c>
      <c r="D188" s="31">
        <v>0.02</v>
      </c>
      <c r="E188" s="32">
        <f t="shared" si="2"/>
        <v>0.78</v>
      </c>
      <c r="F188" s="33" t="s">
        <v>25</v>
      </c>
      <c r="G188" s="34" t="s">
        <v>768</v>
      </c>
      <c r="H188" s="57" t="e">
        <f>((Tablo1[[#This Row],[Esans Fiyat]]/#REF!*Tablo1[[#This Row],[Esans]]*100)+(#REF!/1000*Tablo1[[#This Row],[Su]]*100)+(#REF!/1000*Tablo1[[#This Row],[Alkol]]*100))*(#REF!/100)+#REF!</f>
        <v>#REF!</v>
      </c>
      <c r="I188" s="33" t="s">
        <v>776</v>
      </c>
      <c r="J188" s="51" t="e">
        <f>#REF!*Tablo1[[#This Row],[Esans]]</f>
        <v>#REF!</v>
      </c>
      <c r="K188" s="51" t="e">
        <f>#REF!*Tablo1[[#This Row],[Su]]</f>
        <v>#REF!</v>
      </c>
      <c r="L188" s="51" t="e">
        <f>#REF!*Tablo1[[#This Row],[Alkol]]</f>
        <v>#REF!</v>
      </c>
      <c r="M188" s="44"/>
      <c r="N188" s="51">
        <f>(Tablo1[[#This Row],[KALAN ESANS]]/Tablo1[[#This Row],[Esans]]*0.01)*(Tablo1[[#This Row],[Alkol]]*100)</f>
        <v>0</v>
      </c>
      <c r="O188" s="51">
        <f>(Tablo1[[#This Row],[KALAN ESANS]]/Tablo1[[#This Row],[Esans]]*0.01)*(Tablo1[[#This Row],[Su]]*100)</f>
        <v>0</v>
      </c>
      <c r="P188" s="51">
        <f>Tablo1[[#This Row],[KALAN ESANS]]+Tablo1[[#This Row],[ALKOL Mik]]+Tablo1[[#This Row],[SU Mik]]</f>
        <v>0</v>
      </c>
    </row>
    <row r="189" spans="1:16" ht="15" customHeight="1" x14ac:dyDescent="0.2">
      <c r="A189" s="30" t="s">
        <v>98</v>
      </c>
      <c r="B189" s="36"/>
      <c r="C189" s="31">
        <v>0.17</v>
      </c>
      <c r="D189" s="31">
        <v>0.02</v>
      </c>
      <c r="E189" s="32">
        <f t="shared" si="2"/>
        <v>0.80999999999999994</v>
      </c>
      <c r="F189" s="33" t="s">
        <v>25</v>
      </c>
      <c r="G189" s="34" t="s">
        <v>768</v>
      </c>
      <c r="H189" s="57" t="e">
        <f>((Tablo1[[#This Row],[Esans Fiyat]]/#REF!*Tablo1[[#This Row],[Esans]]*100)+(#REF!/1000*Tablo1[[#This Row],[Su]]*100)+(#REF!/1000*Tablo1[[#This Row],[Alkol]]*100))*(#REF!/100)+#REF!</f>
        <v>#REF!</v>
      </c>
      <c r="I189" s="33" t="s">
        <v>772</v>
      </c>
      <c r="J189" s="51" t="e">
        <f>#REF!*Tablo1[[#This Row],[Esans]]</f>
        <v>#REF!</v>
      </c>
      <c r="K189" s="51" t="e">
        <f>#REF!*Tablo1[[#This Row],[Su]]</f>
        <v>#REF!</v>
      </c>
      <c r="L189" s="51" t="e">
        <f>#REF!*Tablo1[[#This Row],[Alkol]]</f>
        <v>#REF!</v>
      </c>
      <c r="M189" s="44"/>
      <c r="N189" s="51">
        <f>(Tablo1[[#This Row],[KALAN ESANS]]/Tablo1[[#This Row],[Esans]]*0.01)*(Tablo1[[#This Row],[Alkol]]*100)</f>
        <v>0</v>
      </c>
      <c r="O189" s="51">
        <f>(Tablo1[[#This Row],[KALAN ESANS]]/Tablo1[[#This Row],[Esans]]*0.01)*(Tablo1[[#This Row],[Su]]*100)</f>
        <v>0</v>
      </c>
      <c r="P189" s="51">
        <f>Tablo1[[#This Row],[KALAN ESANS]]+Tablo1[[#This Row],[ALKOL Mik]]+Tablo1[[#This Row],[SU Mik]]</f>
        <v>0</v>
      </c>
    </row>
    <row r="190" spans="1:16" ht="15" customHeight="1" x14ac:dyDescent="0.2">
      <c r="A190" s="30" t="s">
        <v>102</v>
      </c>
      <c r="B190" s="36"/>
      <c r="C190" s="31">
        <v>0.2</v>
      </c>
      <c r="D190" s="31">
        <v>0.02</v>
      </c>
      <c r="E190" s="32">
        <f t="shared" si="2"/>
        <v>0.78</v>
      </c>
      <c r="F190" s="33" t="s">
        <v>25</v>
      </c>
      <c r="G190" s="34" t="s">
        <v>768</v>
      </c>
      <c r="H190" s="57" t="e">
        <f>((Tablo1[[#This Row],[Esans Fiyat]]/#REF!*Tablo1[[#This Row],[Esans]]*100)+(#REF!/1000*Tablo1[[#This Row],[Su]]*100)+(#REF!/1000*Tablo1[[#This Row],[Alkol]]*100))*(#REF!/100)+#REF!</f>
        <v>#REF!</v>
      </c>
      <c r="I190" s="33" t="s">
        <v>772</v>
      </c>
      <c r="J190" s="51" t="e">
        <f>#REF!*Tablo1[[#This Row],[Esans]]</f>
        <v>#REF!</v>
      </c>
      <c r="K190" s="51" t="e">
        <f>#REF!*Tablo1[[#This Row],[Su]]</f>
        <v>#REF!</v>
      </c>
      <c r="L190" s="51" t="e">
        <f>#REF!*Tablo1[[#This Row],[Alkol]]</f>
        <v>#REF!</v>
      </c>
      <c r="M190" s="44"/>
      <c r="N190" s="51">
        <f>(Tablo1[[#This Row],[KALAN ESANS]]/Tablo1[[#This Row],[Esans]]*0.01)*(Tablo1[[#This Row],[Alkol]]*100)</f>
        <v>0</v>
      </c>
      <c r="O190" s="51">
        <f>(Tablo1[[#This Row],[KALAN ESANS]]/Tablo1[[#This Row],[Esans]]*0.01)*(Tablo1[[#This Row],[Su]]*100)</f>
        <v>0</v>
      </c>
      <c r="P190" s="51">
        <f>Tablo1[[#This Row],[KALAN ESANS]]+Tablo1[[#This Row],[ALKOL Mik]]+Tablo1[[#This Row],[SU Mik]]</f>
        <v>0</v>
      </c>
    </row>
    <row r="191" spans="1:16" ht="15" customHeight="1" x14ac:dyDescent="0.2">
      <c r="A191" s="30" t="s">
        <v>101</v>
      </c>
      <c r="B191" s="36"/>
      <c r="C191" s="31">
        <v>0.2</v>
      </c>
      <c r="D191" s="31">
        <v>0.02</v>
      </c>
      <c r="E191" s="32">
        <f t="shared" si="2"/>
        <v>0.78</v>
      </c>
      <c r="F191" s="33" t="s">
        <v>25</v>
      </c>
      <c r="G191" s="34" t="s">
        <v>768</v>
      </c>
      <c r="H191" s="57" t="e">
        <f>((Tablo1[[#This Row],[Esans Fiyat]]/#REF!*Tablo1[[#This Row],[Esans]]*100)+(#REF!/1000*Tablo1[[#This Row],[Su]]*100)+(#REF!/1000*Tablo1[[#This Row],[Alkol]]*100))*(#REF!/100)+#REF!</f>
        <v>#REF!</v>
      </c>
      <c r="I191" s="33" t="s">
        <v>774</v>
      </c>
      <c r="J191" s="51" t="e">
        <f>#REF!*Tablo1[[#This Row],[Esans]]</f>
        <v>#REF!</v>
      </c>
      <c r="K191" s="51" t="e">
        <f>#REF!*Tablo1[[#This Row],[Su]]</f>
        <v>#REF!</v>
      </c>
      <c r="L191" s="51" t="e">
        <f>#REF!*Tablo1[[#This Row],[Alkol]]</f>
        <v>#REF!</v>
      </c>
      <c r="M191" s="44"/>
      <c r="N191" s="51">
        <f>(Tablo1[[#This Row],[KALAN ESANS]]/Tablo1[[#This Row],[Esans]]*0.01)*(Tablo1[[#This Row],[Alkol]]*100)</f>
        <v>0</v>
      </c>
      <c r="O191" s="51">
        <f>(Tablo1[[#This Row],[KALAN ESANS]]/Tablo1[[#This Row],[Esans]]*0.01)*(Tablo1[[#This Row],[Su]]*100)</f>
        <v>0</v>
      </c>
      <c r="P191" s="51">
        <f>Tablo1[[#This Row],[KALAN ESANS]]+Tablo1[[#This Row],[ALKOL Mik]]+Tablo1[[#This Row],[SU Mik]]</f>
        <v>0</v>
      </c>
    </row>
    <row r="192" spans="1:16" ht="15" customHeight="1" x14ac:dyDescent="0.2">
      <c r="A192" s="30" t="s">
        <v>11</v>
      </c>
      <c r="B192" s="36"/>
      <c r="C192" s="31">
        <v>0.15</v>
      </c>
      <c r="D192" s="31">
        <v>0</v>
      </c>
      <c r="E192" s="32">
        <f t="shared" si="2"/>
        <v>0.85</v>
      </c>
      <c r="F192" s="33" t="s">
        <v>28</v>
      </c>
      <c r="G192" s="34" t="s">
        <v>768</v>
      </c>
      <c r="H192" s="57" t="e">
        <f>((Tablo1[[#This Row],[Esans Fiyat]]/#REF!*Tablo1[[#This Row],[Esans]]*100)+(#REF!/1000*Tablo1[[#This Row],[Su]]*100)+(#REF!/1000*Tablo1[[#This Row],[Alkol]]*100))*(#REF!/100)+#REF!</f>
        <v>#REF!</v>
      </c>
      <c r="I192" s="33" t="s">
        <v>772</v>
      </c>
      <c r="J192" s="51" t="e">
        <f>#REF!*Tablo1[[#This Row],[Esans]]</f>
        <v>#REF!</v>
      </c>
      <c r="K192" s="51" t="e">
        <f>#REF!*Tablo1[[#This Row],[Su]]</f>
        <v>#REF!</v>
      </c>
      <c r="L192" s="51" t="e">
        <f>#REF!*Tablo1[[#This Row],[Alkol]]</f>
        <v>#REF!</v>
      </c>
      <c r="M192" s="44"/>
      <c r="N192" s="51">
        <f>(Tablo1[[#This Row],[KALAN ESANS]]/Tablo1[[#This Row],[Esans]]*0.01)*(Tablo1[[#This Row],[Alkol]]*100)</f>
        <v>0</v>
      </c>
      <c r="O192" s="51">
        <f>(Tablo1[[#This Row],[KALAN ESANS]]/Tablo1[[#This Row],[Esans]]*0.01)*(Tablo1[[#This Row],[Su]]*100)</f>
        <v>0</v>
      </c>
      <c r="P192" s="51">
        <f>Tablo1[[#This Row],[KALAN ESANS]]+Tablo1[[#This Row],[ALKOL Mik]]+Tablo1[[#This Row],[SU Mik]]</f>
        <v>0</v>
      </c>
    </row>
    <row r="193" spans="1:16" ht="15" customHeight="1" x14ac:dyDescent="0.2">
      <c r="A193" s="30" t="s">
        <v>96</v>
      </c>
      <c r="B193" s="36"/>
      <c r="C193" s="31">
        <v>0.23</v>
      </c>
      <c r="D193" s="31">
        <v>0.02</v>
      </c>
      <c r="E193" s="32">
        <f t="shared" si="2"/>
        <v>0.75</v>
      </c>
      <c r="F193" s="33" t="s">
        <v>25</v>
      </c>
      <c r="G193" s="34" t="s">
        <v>768</v>
      </c>
      <c r="H193" s="57" t="e">
        <f>((Tablo1[[#This Row],[Esans Fiyat]]/#REF!*Tablo1[[#This Row],[Esans]]*100)+(#REF!/1000*Tablo1[[#This Row],[Su]]*100)+(#REF!/1000*Tablo1[[#This Row],[Alkol]]*100))*(#REF!/100)+#REF!</f>
        <v>#REF!</v>
      </c>
      <c r="I193" s="33" t="s">
        <v>772</v>
      </c>
      <c r="J193" s="51" t="e">
        <f>#REF!*Tablo1[[#This Row],[Esans]]</f>
        <v>#REF!</v>
      </c>
      <c r="K193" s="51" t="e">
        <f>#REF!*Tablo1[[#This Row],[Su]]</f>
        <v>#REF!</v>
      </c>
      <c r="L193" s="51" t="e">
        <f>#REF!*Tablo1[[#This Row],[Alkol]]</f>
        <v>#REF!</v>
      </c>
      <c r="M193" s="44"/>
      <c r="N193" s="51">
        <f>(Tablo1[[#This Row],[KALAN ESANS]]/Tablo1[[#This Row],[Esans]]*0.01)*(Tablo1[[#This Row],[Alkol]]*100)</f>
        <v>0</v>
      </c>
      <c r="O193" s="51">
        <f>(Tablo1[[#This Row],[KALAN ESANS]]/Tablo1[[#This Row],[Esans]]*0.01)*(Tablo1[[#This Row],[Su]]*100)</f>
        <v>0</v>
      </c>
      <c r="P193" s="51">
        <f>Tablo1[[#This Row],[KALAN ESANS]]+Tablo1[[#This Row],[ALKOL Mik]]+Tablo1[[#This Row],[SU Mik]]</f>
        <v>0</v>
      </c>
    </row>
    <row r="194" spans="1:16" ht="15" customHeight="1" x14ac:dyDescent="0.2">
      <c r="A194" s="30" t="s">
        <v>95</v>
      </c>
      <c r="B194" s="36"/>
      <c r="C194" s="31">
        <v>0.16</v>
      </c>
      <c r="D194" s="31">
        <v>0.02</v>
      </c>
      <c r="E194" s="32">
        <f t="shared" si="2"/>
        <v>0.82</v>
      </c>
      <c r="F194" s="33" t="s">
        <v>28</v>
      </c>
      <c r="G194" s="34" t="s">
        <v>768</v>
      </c>
      <c r="H194" s="57" t="e">
        <f>((Tablo1[[#This Row],[Esans Fiyat]]/#REF!*Tablo1[[#This Row],[Esans]]*100)+(#REF!/1000*Tablo1[[#This Row],[Su]]*100)+(#REF!/1000*Tablo1[[#This Row],[Alkol]]*100))*(#REF!/100)+#REF!</f>
        <v>#REF!</v>
      </c>
      <c r="I194" s="33" t="s">
        <v>772</v>
      </c>
      <c r="J194" s="51" t="e">
        <f>#REF!*Tablo1[[#This Row],[Esans]]</f>
        <v>#REF!</v>
      </c>
      <c r="K194" s="51" t="e">
        <f>#REF!*Tablo1[[#This Row],[Su]]</f>
        <v>#REF!</v>
      </c>
      <c r="L194" s="51" t="e">
        <f>#REF!*Tablo1[[#This Row],[Alkol]]</f>
        <v>#REF!</v>
      </c>
      <c r="M194" s="44"/>
      <c r="N194" s="51">
        <f>(Tablo1[[#This Row],[KALAN ESANS]]/Tablo1[[#This Row],[Esans]]*0.01)*(Tablo1[[#This Row],[Alkol]]*100)</f>
        <v>0</v>
      </c>
      <c r="O194" s="51">
        <f>(Tablo1[[#This Row],[KALAN ESANS]]/Tablo1[[#This Row],[Esans]]*0.01)*(Tablo1[[#This Row],[Su]]*100)</f>
        <v>0</v>
      </c>
      <c r="P194" s="51">
        <f>Tablo1[[#This Row],[KALAN ESANS]]+Tablo1[[#This Row],[ALKOL Mik]]+Tablo1[[#This Row],[SU Mik]]</f>
        <v>0</v>
      </c>
    </row>
    <row r="195" spans="1:16" ht="15" customHeight="1" x14ac:dyDescent="0.2">
      <c r="A195" s="30" t="s">
        <v>94</v>
      </c>
      <c r="B195" s="36"/>
      <c r="C195" s="31">
        <v>0.13</v>
      </c>
      <c r="D195" s="31">
        <v>0.02</v>
      </c>
      <c r="E195" s="32">
        <f t="shared" si="2"/>
        <v>0.85</v>
      </c>
      <c r="F195" s="33" t="s">
        <v>25</v>
      </c>
      <c r="G195" s="34" t="s">
        <v>768</v>
      </c>
      <c r="H195" s="57" t="e">
        <f>((Tablo1[[#This Row],[Esans Fiyat]]/#REF!*Tablo1[[#This Row],[Esans]]*100)+(#REF!/1000*Tablo1[[#This Row],[Su]]*100)+(#REF!/1000*Tablo1[[#This Row],[Alkol]]*100))*(#REF!/100)+#REF!</f>
        <v>#REF!</v>
      </c>
      <c r="I195" s="33" t="s">
        <v>772</v>
      </c>
      <c r="J195" s="51" t="e">
        <f>#REF!*Tablo1[[#This Row],[Esans]]</f>
        <v>#REF!</v>
      </c>
      <c r="K195" s="51" t="e">
        <f>#REF!*Tablo1[[#This Row],[Su]]</f>
        <v>#REF!</v>
      </c>
      <c r="L195" s="51" t="e">
        <f>#REF!*Tablo1[[#This Row],[Alkol]]</f>
        <v>#REF!</v>
      </c>
      <c r="M195" s="44"/>
      <c r="N195" s="51">
        <f>(Tablo1[[#This Row],[KALAN ESANS]]/Tablo1[[#This Row],[Esans]]*0.01)*(Tablo1[[#This Row],[Alkol]]*100)</f>
        <v>0</v>
      </c>
      <c r="O195" s="51">
        <f>(Tablo1[[#This Row],[KALAN ESANS]]/Tablo1[[#This Row],[Esans]]*0.01)*(Tablo1[[#This Row],[Su]]*100)</f>
        <v>0</v>
      </c>
      <c r="P195" s="51">
        <f>Tablo1[[#This Row],[KALAN ESANS]]+Tablo1[[#This Row],[ALKOL Mik]]+Tablo1[[#This Row],[SU Mik]]</f>
        <v>0</v>
      </c>
    </row>
    <row r="196" spans="1:16" ht="15" customHeight="1" x14ac:dyDescent="0.2">
      <c r="A196" s="30" t="s">
        <v>97</v>
      </c>
      <c r="B196" s="36"/>
      <c r="C196" s="31">
        <v>0.15</v>
      </c>
      <c r="D196" s="31">
        <v>0.02</v>
      </c>
      <c r="E196" s="32">
        <f t="shared" ref="E196:E259" si="3">1-D196-C196</f>
        <v>0.83</v>
      </c>
      <c r="F196" s="33" t="s">
        <v>28</v>
      </c>
      <c r="G196" s="34" t="s">
        <v>768</v>
      </c>
      <c r="H196" s="57" t="e">
        <f>((Tablo1[[#This Row],[Esans Fiyat]]/#REF!*Tablo1[[#This Row],[Esans]]*100)+(#REF!/1000*Tablo1[[#This Row],[Su]]*100)+(#REF!/1000*Tablo1[[#This Row],[Alkol]]*100))*(#REF!/100)+#REF!</f>
        <v>#REF!</v>
      </c>
      <c r="I196" s="33" t="s">
        <v>776</v>
      </c>
      <c r="J196" s="51" t="e">
        <f>#REF!*Tablo1[[#This Row],[Esans]]</f>
        <v>#REF!</v>
      </c>
      <c r="K196" s="51" t="e">
        <f>#REF!*Tablo1[[#This Row],[Su]]</f>
        <v>#REF!</v>
      </c>
      <c r="L196" s="51" t="e">
        <f>#REF!*Tablo1[[#This Row],[Alkol]]</f>
        <v>#REF!</v>
      </c>
      <c r="M196" s="44"/>
      <c r="N196" s="51">
        <f>(Tablo1[[#This Row],[KALAN ESANS]]/Tablo1[[#This Row],[Esans]]*0.01)*(Tablo1[[#This Row],[Alkol]]*100)</f>
        <v>0</v>
      </c>
      <c r="O196" s="51">
        <f>(Tablo1[[#This Row],[KALAN ESANS]]/Tablo1[[#This Row],[Esans]]*0.01)*(Tablo1[[#This Row],[Su]]*100)</f>
        <v>0</v>
      </c>
      <c r="P196" s="51">
        <f>Tablo1[[#This Row],[KALAN ESANS]]+Tablo1[[#This Row],[ALKOL Mik]]+Tablo1[[#This Row],[SU Mik]]</f>
        <v>0</v>
      </c>
    </row>
    <row r="197" spans="1:16" ht="15" customHeight="1" x14ac:dyDescent="0.2">
      <c r="A197" s="30" t="s">
        <v>17</v>
      </c>
      <c r="B197" s="36"/>
      <c r="C197" s="31">
        <v>0.2</v>
      </c>
      <c r="D197" s="31">
        <v>0.02</v>
      </c>
      <c r="E197" s="32">
        <f t="shared" si="3"/>
        <v>0.78</v>
      </c>
      <c r="F197" s="33" t="s">
        <v>25</v>
      </c>
      <c r="G197" s="34" t="s">
        <v>768</v>
      </c>
      <c r="H197" s="57" t="e">
        <f>((Tablo1[[#This Row],[Esans Fiyat]]/#REF!*Tablo1[[#This Row],[Esans]]*100)+(#REF!/1000*Tablo1[[#This Row],[Su]]*100)+(#REF!/1000*Tablo1[[#This Row],[Alkol]]*100))*(#REF!/100)+#REF!</f>
        <v>#REF!</v>
      </c>
      <c r="I197" s="33" t="s">
        <v>772</v>
      </c>
      <c r="J197" s="51" t="e">
        <f>#REF!*Tablo1[[#This Row],[Esans]]</f>
        <v>#REF!</v>
      </c>
      <c r="K197" s="51" t="e">
        <f>#REF!*Tablo1[[#This Row],[Su]]</f>
        <v>#REF!</v>
      </c>
      <c r="L197" s="51" t="e">
        <f>#REF!*Tablo1[[#This Row],[Alkol]]</f>
        <v>#REF!</v>
      </c>
      <c r="M197" s="44"/>
      <c r="N197" s="51">
        <f>(Tablo1[[#This Row],[KALAN ESANS]]/Tablo1[[#This Row],[Esans]]*0.01)*(Tablo1[[#This Row],[Alkol]]*100)</f>
        <v>0</v>
      </c>
      <c r="O197" s="51">
        <f>(Tablo1[[#This Row],[KALAN ESANS]]/Tablo1[[#This Row],[Esans]]*0.01)*(Tablo1[[#This Row],[Su]]*100)</f>
        <v>0</v>
      </c>
      <c r="P197" s="51">
        <f>Tablo1[[#This Row],[KALAN ESANS]]+Tablo1[[#This Row],[ALKOL Mik]]+Tablo1[[#This Row],[SU Mik]]</f>
        <v>0</v>
      </c>
    </row>
    <row r="198" spans="1:16" ht="15" customHeight="1" x14ac:dyDescent="0.2">
      <c r="A198" s="30" t="s">
        <v>5</v>
      </c>
      <c r="B198" s="36"/>
      <c r="C198" s="31">
        <v>0.2</v>
      </c>
      <c r="D198" s="31">
        <v>0.01</v>
      </c>
      <c r="E198" s="32">
        <f t="shared" si="3"/>
        <v>0.79</v>
      </c>
      <c r="F198" s="33" t="s">
        <v>25</v>
      </c>
      <c r="G198" s="34" t="s">
        <v>768</v>
      </c>
      <c r="H198" s="57" t="e">
        <f>((Tablo1[[#This Row],[Esans Fiyat]]/#REF!*Tablo1[[#This Row],[Esans]]*100)+(#REF!/1000*Tablo1[[#This Row],[Su]]*100)+(#REF!/1000*Tablo1[[#This Row],[Alkol]]*100))*(#REF!/100)+#REF!</f>
        <v>#REF!</v>
      </c>
      <c r="I198" s="33" t="s">
        <v>782</v>
      </c>
      <c r="J198" s="51" t="e">
        <f>#REF!*Tablo1[[#This Row],[Esans]]</f>
        <v>#REF!</v>
      </c>
      <c r="K198" s="51" t="e">
        <f>#REF!*Tablo1[[#This Row],[Su]]</f>
        <v>#REF!</v>
      </c>
      <c r="L198" s="51" t="e">
        <f>#REF!*Tablo1[[#This Row],[Alkol]]</f>
        <v>#REF!</v>
      </c>
      <c r="M198" s="44"/>
      <c r="N198" s="51">
        <f>(Tablo1[[#This Row],[KALAN ESANS]]/Tablo1[[#This Row],[Esans]]*0.01)*(Tablo1[[#This Row],[Alkol]]*100)</f>
        <v>0</v>
      </c>
      <c r="O198" s="51">
        <f>(Tablo1[[#This Row],[KALAN ESANS]]/Tablo1[[#This Row],[Esans]]*0.01)*(Tablo1[[#This Row],[Su]]*100)</f>
        <v>0</v>
      </c>
      <c r="P198" s="51">
        <f>Tablo1[[#This Row],[KALAN ESANS]]+Tablo1[[#This Row],[ALKOL Mik]]+Tablo1[[#This Row],[SU Mik]]</f>
        <v>0</v>
      </c>
    </row>
    <row r="199" spans="1:16" ht="15" customHeight="1" x14ac:dyDescent="0.2">
      <c r="A199" s="30" t="s">
        <v>93</v>
      </c>
      <c r="B199" s="36"/>
      <c r="C199" s="31">
        <v>0.15</v>
      </c>
      <c r="D199" s="31">
        <v>0.02</v>
      </c>
      <c r="E199" s="32">
        <f t="shared" si="3"/>
        <v>0.83</v>
      </c>
      <c r="F199" s="33" t="s">
        <v>28</v>
      </c>
      <c r="G199" s="34" t="s">
        <v>768</v>
      </c>
      <c r="H199" s="57" t="e">
        <f>((Tablo1[[#This Row],[Esans Fiyat]]/#REF!*Tablo1[[#This Row],[Esans]]*100)+(#REF!/1000*Tablo1[[#This Row],[Su]]*100)+(#REF!/1000*Tablo1[[#This Row],[Alkol]]*100))*(#REF!/100)+#REF!</f>
        <v>#REF!</v>
      </c>
      <c r="I199" s="33" t="s">
        <v>776</v>
      </c>
      <c r="J199" s="51" t="e">
        <f>#REF!*Tablo1[[#This Row],[Esans]]</f>
        <v>#REF!</v>
      </c>
      <c r="K199" s="51" t="e">
        <f>#REF!*Tablo1[[#This Row],[Su]]</f>
        <v>#REF!</v>
      </c>
      <c r="L199" s="51" t="e">
        <f>#REF!*Tablo1[[#This Row],[Alkol]]</f>
        <v>#REF!</v>
      </c>
      <c r="M199" s="44"/>
      <c r="N199" s="51">
        <f>(Tablo1[[#This Row],[KALAN ESANS]]/Tablo1[[#This Row],[Esans]]*0.01)*(Tablo1[[#This Row],[Alkol]]*100)</f>
        <v>0</v>
      </c>
      <c r="O199" s="51">
        <f>(Tablo1[[#This Row],[KALAN ESANS]]/Tablo1[[#This Row],[Esans]]*0.01)*(Tablo1[[#This Row],[Su]]*100)</f>
        <v>0</v>
      </c>
      <c r="P199" s="51">
        <f>Tablo1[[#This Row],[KALAN ESANS]]+Tablo1[[#This Row],[ALKOL Mik]]+Tablo1[[#This Row],[SU Mik]]</f>
        <v>0</v>
      </c>
    </row>
    <row r="200" spans="1:16" ht="15" customHeight="1" x14ac:dyDescent="0.2">
      <c r="A200" s="30" t="s">
        <v>91</v>
      </c>
      <c r="B200" s="36"/>
      <c r="C200" s="31">
        <v>0.2</v>
      </c>
      <c r="D200" s="31">
        <v>0.02</v>
      </c>
      <c r="E200" s="32">
        <f t="shared" si="3"/>
        <v>0.78</v>
      </c>
      <c r="F200" s="33" t="s">
        <v>25</v>
      </c>
      <c r="G200" s="34" t="s">
        <v>768</v>
      </c>
      <c r="H200" s="57" t="e">
        <f>((Tablo1[[#This Row],[Esans Fiyat]]/#REF!*Tablo1[[#This Row],[Esans]]*100)+(#REF!/1000*Tablo1[[#This Row],[Su]]*100)+(#REF!/1000*Tablo1[[#This Row],[Alkol]]*100))*(#REF!/100)+#REF!</f>
        <v>#REF!</v>
      </c>
      <c r="I200" s="33" t="s">
        <v>776</v>
      </c>
      <c r="J200" s="51" t="e">
        <f>#REF!*Tablo1[[#This Row],[Esans]]</f>
        <v>#REF!</v>
      </c>
      <c r="K200" s="51" t="e">
        <f>#REF!*Tablo1[[#This Row],[Su]]</f>
        <v>#REF!</v>
      </c>
      <c r="L200" s="51" t="e">
        <f>#REF!*Tablo1[[#This Row],[Alkol]]</f>
        <v>#REF!</v>
      </c>
      <c r="M200" s="44"/>
      <c r="N200" s="51">
        <f>(Tablo1[[#This Row],[KALAN ESANS]]/Tablo1[[#This Row],[Esans]]*0.01)*(Tablo1[[#This Row],[Alkol]]*100)</f>
        <v>0</v>
      </c>
      <c r="O200" s="51">
        <f>(Tablo1[[#This Row],[KALAN ESANS]]/Tablo1[[#This Row],[Esans]]*0.01)*(Tablo1[[#This Row],[Su]]*100)</f>
        <v>0</v>
      </c>
      <c r="P200" s="51">
        <f>Tablo1[[#This Row],[KALAN ESANS]]+Tablo1[[#This Row],[ALKOL Mik]]+Tablo1[[#This Row],[SU Mik]]</f>
        <v>0</v>
      </c>
    </row>
    <row r="201" spans="1:16" ht="15" customHeight="1" x14ac:dyDescent="0.2">
      <c r="A201" s="30" t="s">
        <v>92</v>
      </c>
      <c r="B201" s="36"/>
      <c r="C201" s="31">
        <v>0.2</v>
      </c>
      <c r="D201" s="31">
        <v>0</v>
      </c>
      <c r="E201" s="32">
        <f t="shared" si="3"/>
        <v>0.8</v>
      </c>
      <c r="F201" s="33" t="s">
        <v>25</v>
      </c>
      <c r="G201" s="34" t="s">
        <v>768</v>
      </c>
      <c r="H201" s="57" t="e">
        <f>((Tablo1[[#This Row],[Esans Fiyat]]/#REF!*Tablo1[[#This Row],[Esans]]*100)+(#REF!/1000*Tablo1[[#This Row],[Su]]*100)+(#REF!/1000*Tablo1[[#This Row],[Alkol]]*100))*(#REF!/100)+#REF!</f>
        <v>#REF!</v>
      </c>
      <c r="I201" s="33" t="s">
        <v>776</v>
      </c>
      <c r="J201" s="51" t="e">
        <f>#REF!*Tablo1[[#This Row],[Esans]]</f>
        <v>#REF!</v>
      </c>
      <c r="K201" s="51" t="e">
        <f>#REF!*Tablo1[[#This Row],[Su]]</f>
        <v>#REF!</v>
      </c>
      <c r="L201" s="51" t="e">
        <f>#REF!*Tablo1[[#This Row],[Alkol]]</f>
        <v>#REF!</v>
      </c>
      <c r="M201" s="44"/>
      <c r="N201" s="51">
        <f>(Tablo1[[#This Row],[KALAN ESANS]]/Tablo1[[#This Row],[Esans]]*0.01)*(Tablo1[[#This Row],[Alkol]]*100)</f>
        <v>0</v>
      </c>
      <c r="O201" s="51">
        <f>(Tablo1[[#This Row],[KALAN ESANS]]/Tablo1[[#This Row],[Esans]]*0.01)*(Tablo1[[#This Row],[Su]]*100)</f>
        <v>0</v>
      </c>
      <c r="P201" s="51">
        <f>Tablo1[[#This Row],[KALAN ESANS]]+Tablo1[[#This Row],[ALKOL Mik]]+Tablo1[[#This Row],[SU Mik]]</f>
        <v>0</v>
      </c>
    </row>
    <row r="202" spans="1:16" ht="15" customHeight="1" x14ac:dyDescent="0.2">
      <c r="A202" s="30" t="s">
        <v>48</v>
      </c>
      <c r="B202" s="36"/>
      <c r="C202" s="31">
        <v>0.15</v>
      </c>
      <c r="D202" s="31">
        <v>0.02</v>
      </c>
      <c r="E202" s="32">
        <f t="shared" si="3"/>
        <v>0.83</v>
      </c>
      <c r="F202" s="33" t="s">
        <v>28</v>
      </c>
      <c r="G202" s="34" t="s">
        <v>768</v>
      </c>
      <c r="H202" s="57" t="e">
        <f>((Tablo1[[#This Row],[Esans Fiyat]]/#REF!*Tablo1[[#This Row],[Esans]]*100)+(#REF!/1000*Tablo1[[#This Row],[Su]]*100)+(#REF!/1000*Tablo1[[#This Row],[Alkol]]*100))*(#REF!/100)+#REF!</f>
        <v>#REF!</v>
      </c>
      <c r="I202" s="33" t="s">
        <v>774</v>
      </c>
      <c r="J202" s="51" t="e">
        <f>#REF!*Tablo1[[#This Row],[Esans]]</f>
        <v>#REF!</v>
      </c>
      <c r="K202" s="51" t="e">
        <f>#REF!*Tablo1[[#This Row],[Su]]</f>
        <v>#REF!</v>
      </c>
      <c r="L202" s="51" t="e">
        <f>#REF!*Tablo1[[#This Row],[Alkol]]</f>
        <v>#REF!</v>
      </c>
      <c r="M202" s="44"/>
      <c r="N202" s="51">
        <f>(Tablo1[[#This Row],[KALAN ESANS]]/Tablo1[[#This Row],[Esans]]*0.01)*(Tablo1[[#This Row],[Alkol]]*100)</f>
        <v>0</v>
      </c>
      <c r="O202" s="51">
        <f>(Tablo1[[#This Row],[KALAN ESANS]]/Tablo1[[#This Row],[Esans]]*0.01)*(Tablo1[[#This Row],[Su]]*100)</f>
        <v>0</v>
      </c>
      <c r="P202" s="51">
        <f>Tablo1[[#This Row],[KALAN ESANS]]+Tablo1[[#This Row],[ALKOL Mik]]+Tablo1[[#This Row],[SU Mik]]</f>
        <v>0</v>
      </c>
    </row>
    <row r="203" spans="1:16" ht="15" customHeight="1" x14ac:dyDescent="0.2">
      <c r="A203" s="30" t="s">
        <v>88</v>
      </c>
      <c r="B203" s="36"/>
      <c r="C203" s="31">
        <v>0.15</v>
      </c>
      <c r="D203" s="31">
        <v>0.02</v>
      </c>
      <c r="E203" s="32">
        <f t="shared" si="3"/>
        <v>0.83</v>
      </c>
      <c r="F203" s="33" t="s">
        <v>28</v>
      </c>
      <c r="G203" s="34" t="s">
        <v>768</v>
      </c>
      <c r="H203" s="57" t="e">
        <f>((Tablo1[[#This Row],[Esans Fiyat]]/#REF!*Tablo1[[#This Row],[Esans]]*100)+(#REF!/1000*Tablo1[[#This Row],[Su]]*100)+(#REF!/1000*Tablo1[[#This Row],[Alkol]]*100))*(#REF!/100)+#REF!</f>
        <v>#REF!</v>
      </c>
      <c r="I203" s="33" t="s">
        <v>772</v>
      </c>
      <c r="J203" s="51" t="e">
        <f>#REF!*Tablo1[[#This Row],[Esans]]</f>
        <v>#REF!</v>
      </c>
      <c r="K203" s="51" t="e">
        <f>#REF!*Tablo1[[#This Row],[Su]]</f>
        <v>#REF!</v>
      </c>
      <c r="L203" s="51" t="e">
        <f>#REF!*Tablo1[[#This Row],[Alkol]]</f>
        <v>#REF!</v>
      </c>
      <c r="M203" s="44"/>
      <c r="N203" s="51">
        <f>(Tablo1[[#This Row],[KALAN ESANS]]/Tablo1[[#This Row],[Esans]]*0.01)*(Tablo1[[#This Row],[Alkol]]*100)</f>
        <v>0</v>
      </c>
      <c r="O203" s="51">
        <f>(Tablo1[[#This Row],[KALAN ESANS]]/Tablo1[[#This Row],[Esans]]*0.01)*(Tablo1[[#This Row],[Su]]*100)</f>
        <v>0</v>
      </c>
      <c r="P203" s="51">
        <f>Tablo1[[#This Row],[KALAN ESANS]]+Tablo1[[#This Row],[ALKOL Mik]]+Tablo1[[#This Row],[SU Mik]]</f>
        <v>0</v>
      </c>
    </row>
    <row r="204" spans="1:16" ht="15" customHeight="1" x14ac:dyDescent="0.2">
      <c r="A204" s="30" t="s">
        <v>89</v>
      </c>
      <c r="B204" s="36"/>
      <c r="C204" s="31">
        <v>0.17</v>
      </c>
      <c r="D204" s="31">
        <v>0.02</v>
      </c>
      <c r="E204" s="32">
        <f t="shared" si="3"/>
        <v>0.80999999999999994</v>
      </c>
      <c r="F204" s="33" t="s">
        <v>25</v>
      </c>
      <c r="G204" s="34" t="s">
        <v>768</v>
      </c>
      <c r="H204" s="57" t="e">
        <f>((Tablo1[[#This Row],[Esans Fiyat]]/#REF!*Tablo1[[#This Row],[Esans]]*100)+(#REF!/1000*Tablo1[[#This Row],[Su]]*100)+(#REF!/1000*Tablo1[[#This Row],[Alkol]]*100))*(#REF!/100)+#REF!</f>
        <v>#REF!</v>
      </c>
      <c r="I204" s="33" t="s">
        <v>772</v>
      </c>
      <c r="J204" s="51" t="e">
        <f>#REF!*Tablo1[[#This Row],[Esans]]</f>
        <v>#REF!</v>
      </c>
      <c r="K204" s="51" t="e">
        <f>#REF!*Tablo1[[#This Row],[Su]]</f>
        <v>#REF!</v>
      </c>
      <c r="L204" s="51" t="e">
        <f>#REF!*Tablo1[[#This Row],[Alkol]]</f>
        <v>#REF!</v>
      </c>
      <c r="M204" s="44"/>
      <c r="N204" s="51">
        <f>(Tablo1[[#This Row],[KALAN ESANS]]/Tablo1[[#This Row],[Esans]]*0.01)*(Tablo1[[#This Row],[Alkol]]*100)</f>
        <v>0</v>
      </c>
      <c r="O204" s="51">
        <f>(Tablo1[[#This Row],[KALAN ESANS]]/Tablo1[[#This Row],[Esans]]*0.01)*(Tablo1[[#This Row],[Su]]*100)</f>
        <v>0</v>
      </c>
      <c r="P204" s="51">
        <f>Tablo1[[#This Row],[KALAN ESANS]]+Tablo1[[#This Row],[ALKOL Mik]]+Tablo1[[#This Row],[SU Mik]]</f>
        <v>0</v>
      </c>
    </row>
    <row r="205" spans="1:16" ht="15" customHeight="1" x14ac:dyDescent="0.2">
      <c r="A205" s="30" t="s">
        <v>86</v>
      </c>
      <c r="B205" s="36"/>
      <c r="C205" s="31">
        <v>0.16</v>
      </c>
      <c r="D205" s="31">
        <v>0.02</v>
      </c>
      <c r="E205" s="32">
        <f t="shared" si="3"/>
        <v>0.82</v>
      </c>
      <c r="F205" s="33" t="s">
        <v>28</v>
      </c>
      <c r="G205" s="34" t="s">
        <v>768</v>
      </c>
      <c r="H205" s="57" t="e">
        <f>((Tablo1[[#This Row],[Esans Fiyat]]/#REF!*Tablo1[[#This Row],[Esans]]*100)+(#REF!/1000*Tablo1[[#This Row],[Su]]*100)+(#REF!/1000*Tablo1[[#This Row],[Alkol]]*100))*(#REF!/100)+#REF!</f>
        <v>#REF!</v>
      </c>
      <c r="I205" s="33" t="s">
        <v>772</v>
      </c>
      <c r="J205" s="51" t="e">
        <f>#REF!*Tablo1[[#This Row],[Esans]]</f>
        <v>#REF!</v>
      </c>
      <c r="K205" s="51" t="e">
        <f>#REF!*Tablo1[[#This Row],[Su]]</f>
        <v>#REF!</v>
      </c>
      <c r="L205" s="51" t="e">
        <f>#REF!*Tablo1[[#This Row],[Alkol]]</f>
        <v>#REF!</v>
      </c>
      <c r="M205" s="44"/>
      <c r="N205" s="51">
        <f>(Tablo1[[#This Row],[KALAN ESANS]]/Tablo1[[#This Row],[Esans]]*0.01)*(Tablo1[[#This Row],[Alkol]]*100)</f>
        <v>0</v>
      </c>
      <c r="O205" s="51">
        <f>(Tablo1[[#This Row],[KALAN ESANS]]/Tablo1[[#This Row],[Esans]]*0.01)*(Tablo1[[#This Row],[Su]]*100)</f>
        <v>0</v>
      </c>
      <c r="P205" s="51">
        <f>Tablo1[[#This Row],[KALAN ESANS]]+Tablo1[[#This Row],[ALKOL Mik]]+Tablo1[[#This Row],[SU Mik]]</f>
        <v>0</v>
      </c>
    </row>
    <row r="206" spans="1:16" ht="15" customHeight="1" x14ac:dyDescent="0.2">
      <c r="A206" s="30" t="s">
        <v>87</v>
      </c>
      <c r="B206" s="36"/>
      <c r="C206" s="31">
        <v>0.17</v>
      </c>
      <c r="D206" s="31">
        <v>0.02</v>
      </c>
      <c r="E206" s="32">
        <f t="shared" si="3"/>
        <v>0.80999999999999994</v>
      </c>
      <c r="F206" s="33" t="s">
        <v>28</v>
      </c>
      <c r="G206" s="34" t="s">
        <v>768</v>
      </c>
      <c r="H206" s="57" t="e">
        <f>((Tablo1[[#This Row],[Esans Fiyat]]/#REF!*Tablo1[[#This Row],[Esans]]*100)+(#REF!/1000*Tablo1[[#This Row],[Su]]*100)+(#REF!/1000*Tablo1[[#This Row],[Alkol]]*100))*(#REF!/100)+#REF!</f>
        <v>#REF!</v>
      </c>
      <c r="I206" s="33" t="s">
        <v>772</v>
      </c>
      <c r="J206" s="51" t="e">
        <f>#REF!*Tablo1[[#This Row],[Esans]]</f>
        <v>#REF!</v>
      </c>
      <c r="K206" s="51" t="e">
        <f>#REF!*Tablo1[[#This Row],[Su]]</f>
        <v>#REF!</v>
      </c>
      <c r="L206" s="51" t="e">
        <f>#REF!*Tablo1[[#This Row],[Alkol]]</f>
        <v>#REF!</v>
      </c>
      <c r="M206" s="44"/>
      <c r="N206" s="51">
        <f>(Tablo1[[#This Row],[KALAN ESANS]]/Tablo1[[#This Row],[Esans]]*0.01)*(Tablo1[[#This Row],[Alkol]]*100)</f>
        <v>0</v>
      </c>
      <c r="O206" s="51">
        <f>(Tablo1[[#This Row],[KALAN ESANS]]/Tablo1[[#This Row],[Esans]]*0.01)*(Tablo1[[#This Row],[Su]]*100)</f>
        <v>0</v>
      </c>
      <c r="P206" s="51">
        <f>Tablo1[[#This Row],[KALAN ESANS]]+Tablo1[[#This Row],[ALKOL Mik]]+Tablo1[[#This Row],[SU Mik]]</f>
        <v>0</v>
      </c>
    </row>
    <row r="207" spans="1:16" ht="15" customHeight="1" x14ac:dyDescent="0.2">
      <c r="A207" s="30" t="s">
        <v>90</v>
      </c>
      <c r="B207" s="36"/>
      <c r="C207" s="31">
        <v>0.13</v>
      </c>
      <c r="D207" s="31">
        <v>0.02</v>
      </c>
      <c r="E207" s="32">
        <f t="shared" si="3"/>
        <v>0.85</v>
      </c>
      <c r="F207" s="33" t="s">
        <v>28</v>
      </c>
      <c r="G207" s="34" t="s">
        <v>768</v>
      </c>
      <c r="H207" s="57" t="e">
        <f>((Tablo1[[#This Row],[Esans Fiyat]]/#REF!*Tablo1[[#This Row],[Esans]]*100)+(#REF!/1000*Tablo1[[#This Row],[Su]]*100)+(#REF!/1000*Tablo1[[#This Row],[Alkol]]*100))*(#REF!/100)+#REF!</f>
        <v>#REF!</v>
      </c>
      <c r="I207" s="33" t="s">
        <v>772</v>
      </c>
      <c r="J207" s="51" t="e">
        <f>#REF!*Tablo1[[#This Row],[Esans]]</f>
        <v>#REF!</v>
      </c>
      <c r="K207" s="51" t="e">
        <f>#REF!*Tablo1[[#This Row],[Su]]</f>
        <v>#REF!</v>
      </c>
      <c r="L207" s="51" t="e">
        <f>#REF!*Tablo1[[#This Row],[Alkol]]</f>
        <v>#REF!</v>
      </c>
      <c r="M207" s="44"/>
      <c r="N207" s="51">
        <f>(Tablo1[[#This Row],[KALAN ESANS]]/Tablo1[[#This Row],[Esans]]*0.01)*(Tablo1[[#This Row],[Alkol]]*100)</f>
        <v>0</v>
      </c>
      <c r="O207" s="51">
        <f>(Tablo1[[#This Row],[KALAN ESANS]]/Tablo1[[#This Row],[Esans]]*0.01)*(Tablo1[[#This Row],[Su]]*100)</f>
        <v>0</v>
      </c>
      <c r="P207" s="51">
        <f>Tablo1[[#This Row],[KALAN ESANS]]+Tablo1[[#This Row],[ALKOL Mik]]+Tablo1[[#This Row],[SU Mik]]</f>
        <v>0</v>
      </c>
    </row>
    <row r="208" spans="1:16" ht="15" customHeight="1" x14ac:dyDescent="0.2">
      <c r="A208" s="30" t="s">
        <v>49</v>
      </c>
      <c r="B208" s="36"/>
      <c r="C208" s="31">
        <v>0.15</v>
      </c>
      <c r="D208" s="31">
        <v>0.02</v>
      </c>
      <c r="E208" s="32">
        <f t="shared" si="3"/>
        <v>0.83</v>
      </c>
      <c r="F208" s="33" t="s">
        <v>28</v>
      </c>
      <c r="G208" s="34" t="s">
        <v>768</v>
      </c>
      <c r="H208" s="57" t="e">
        <f>((Tablo1[[#This Row],[Esans Fiyat]]/#REF!*Tablo1[[#This Row],[Esans]]*100)+(#REF!/1000*Tablo1[[#This Row],[Su]]*100)+(#REF!/1000*Tablo1[[#This Row],[Alkol]]*100))*(#REF!/100)+#REF!</f>
        <v>#REF!</v>
      </c>
      <c r="I208" s="33" t="s">
        <v>776</v>
      </c>
      <c r="J208" s="51" t="e">
        <f>#REF!*Tablo1[[#This Row],[Esans]]</f>
        <v>#REF!</v>
      </c>
      <c r="K208" s="51" t="e">
        <f>#REF!*Tablo1[[#This Row],[Su]]</f>
        <v>#REF!</v>
      </c>
      <c r="L208" s="51" t="e">
        <f>#REF!*Tablo1[[#This Row],[Alkol]]</f>
        <v>#REF!</v>
      </c>
      <c r="M208" s="44"/>
      <c r="N208" s="51">
        <f>(Tablo1[[#This Row],[KALAN ESANS]]/Tablo1[[#This Row],[Esans]]*0.01)*(Tablo1[[#This Row],[Alkol]]*100)</f>
        <v>0</v>
      </c>
      <c r="O208" s="51">
        <f>(Tablo1[[#This Row],[KALAN ESANS]]/Tablo1[[#This Row],[Esans]]*0.01)*(Tablo1[[#This Row],[Su]]*100)</f>
        <v>0</v>
      </c>
      <c r="P208" s="51">
        <f>Tablo1[[#This Row],[KALAN ESANS]]+Tablo1[[#This Row],[ALKOL Mik]]+Tablo1[[#This Row],[SU Mik]]</f>
        <v>0</v>
      </c>
    </row>
    <row r="209" spans="1:16" ht="15" customHeight="1" x14ac:dyDescent="0.2">
      <c r="A209" s="30" t="s">
        <v>85</v>
      </c>
      <c r="B209" s="36"/>
      <c r="C209" s="31">
        <v>0.15</v>
      </c>
      <c r="D209" s="31">
        <v>0.02</v>
      </c>
      <c r="E209" s="32">
        <f t="shared" si="3"/>
        <v>0.83</v>
      </c>
      <c r="F209" s="33" t="s">
        <v>28</v>
      </c>
      <c r="G209" s="34" t="s">
        <v>768</v>
      </c>
      <c r="H209" s="57" t="e">
        <f>((Tablo1[[#This Row],[Esans Fiyat]]/#REF!*Tablo1[[#This Row],[Esans]]*100)+(#REF!/1000*Tablo1[[#This Row],[Su]]*100)+(#REF!/1000*Tablo1[[#This Row],[Alkol]]*100))*(#REF!/100)+#REF!</f>
        <v>#REF!</v>
      </c>
      <c r="I209" s="33" t="s">
        <v>776</v>
      </c>
      <c r="J209" s="51" t="e">
        <f>#REF!*Tablo1[[#This Row],[Esans]]</f>
        <v>#REF!</v>
      </c>
      <c r="K209" s="51" t="e">
        <f>#REF!*Tablo1[[#This Row],[Su]]</f>
        <v>#REF!</v>
      </c>
      <c r="L209" s="51" t="e">
        <f>#REF!*Tablo1[[#This Row],[Alkol]]</f>
        <v>#REF!</v>
      </c>
      <c r="M209" s="44"/>
      <c r="N209" s="51">
        <f>(Tablo1[[#This Row],[KALAN ESANS]]/Tablo1[[#This Row],[Esans]]*0.01)*(Tablo1[[#This Row],[Alkol]]*100)</f>
        <v>0</v>
      </c>
      <c r="O209" s="51">
        <f>(Tablo1[[#This Row],[KALAN ESANS]]/Tablo1[[#This Row],[Esans]]*0.01)*(Tablo1[[#This Row],[Su]]*100)</f>
        <v>0</v>
      </c>
      <c r="P209" s="51">
        <f>Tablo1[[#This Row],[KALAN ESANS]]+Tablo1[[#This Row],[ALKOL Mik]]+Tablo1[[#This Row],[SU Mik]]</f>
        <v>0</v>
      </c>
    </row>
    <row r="210" spans="1:16" ht="15" customHeight="1" x14ac:dyDescent="0.2">
      <c r="A210" s="30" t="s">
        <v>84</v>
      </c>
      <c r="B210" s="36"/>
      <c r="C210" s="31">
        <v>0.2</v>
      </c>
      <c r="D210" s="31">
        <v>0</v>
      </c>
      <c r="E210" s="32">
        <f t="shared" si="3"/>
        <v>0.8</v>
      </c>
      <c r="F210" s="33" t="s">
        <v>25</v>
      </c>
      <c r="G210" s="34" t="s">
        <v>768</v>
      </c>
      <c r="H210" s="57" t="e">
        <f>((Tablo1[[#This Row],[Esans Fiyat]]/#REF!*Tablo1[[#This Row],[Esans]]*100)+(#REF!/1000*Tablo1[[#This Row],[Su]]*100)+(#REF!/1000*Tablo1[[#This Row],[Alkol]]*100))*(#REF!/100)+#REF!</f>
        <v>#REF!</v>
      </c>
      <c r="I210" s="33" t="s">
        <v>776</v>
      </c>
      <c r="J210" s="51" t="e">
        <f>#REF!*Tablo1[[#This Row],[Esans]]</f>
        <v>#REF!</v>
      </c>
      <c r="K210" s="51" t="e">
        <f>#REF!*Tablo1[[#This Row],[Su]]</f>
        <v>#REF!</v>
      </c>
      <c r="L210" s="51" t="e">
        <f>#REF!*Tablo1[[#This Row],[Alkol]]</f>
        <v>#REF!</v>
      </c>
      <c r="M210" s="44"/>
      <c r="N210" s="51">
        <f>(Tablo1[[#This Row],[KALAN ESANS]]/Tablo1[[#This Row],[Esans]]*0.01)*(Tablo1[[#This Row],[Alkol]]*100)</f>
        <v>0</v>
      </c>
      <c r="O210" s="51">
        <f>(Tablo1[[#This Row],[KALAN ESANS]]/Tablo1[[#This Row],[Esans]]*0.01)*(Tablo1[[#This Row],[Su]]*100)</f>
        <v>0</v>
      </c>
      <c r="P210" s="51">
        <f>Tablo1[[#This Row],[KALAN ESANS]]+Tablo1[[#This Row],[ALKOL Mik]]+Tablo1[[#This Row],[SU Mik]]</f>
        <v>0</v>
      </c>
    </row>
    <row r="211" spans="1:16" ht="15" customHeight="1" x14ac:dyDescent="0.2">
      <c r="A211" s="30" t="s">
        <v>83</v>
      </c>
      <c r="B211" s="36"/>
      <c r="C211" s="31">
        <v>0.15</v>
      </c>
      <c r="D211" s="31">
        <v>0.02</v>
      </c>
      <c r="E211" s="32">
        <f t="shared" si="3"/>
        <v>0.83</v>
      </c>
      <c r="F211" s="33" t="s">
        <v>28</v>
      </c>
      <c r="G211" s="34" t="s">
        <v>768</v>
      </c>
      <c r="H211" s="57" t="e">
        <f>((Tablo1[[#This Row],[Esans Fiyat]]/#REF!*Tablo1[[#This Row],[Esans]]*100)+(#REF!/1000*Tablo1[[#This Row],[Su]]*100)+(#REF!/1000*Tablo1[[#This Row],[Alkol]]*100))*(#REF!/100)+#REF!</f>
        <v>#REF!</v>
      </c>
      <c r="I211" s="33" t="s">
        <v>776</v>
      </c>
      <c r="J211" s="51" t="e">
        <f>#REF!*Tablo1[[#This Row],[Esans]]</f>
        <v>#REF!</v>
      </c>
      <c r="K211" s="51" t="e">
        <f>#REF!*Tablo1[[#This Row],[Su]]</f>
        <v>#REF!</v>
      </c>
      <c r="L211" s="51" t="e">
        <f>#REF!*Tablo1[[#This Row],[Alkol]]</f>
        <v>#REF!</v>
      </c>
      <c r="M211" s="44"/>
      <c r="N211" s="51">
        <f>(Tablo1[[#This Row],[KALAN ESANS]]/Tablo1[[#This Row],[Esans]]*0.01)*(Tablo1[[#This Row],[Alkol]]*100)</f>
        <v>0</v>
      </c>
      <c r="O211" s="51">
        <f>(Tablo1[[#This Row],[KALAN ESANS]]/Tablo1[[#This Row],[Esans]]*0.01)*(Tablo1[[#This Row],[Su]]*100)</f>
        <v>0</v>
      </c>
      <c r="P211" s="51">
        <f>Tablo1[[#This Row],[KALAN ESANS]]+Tablo1[[#This Row],[ALKOL Mik]]+Tablo1[[#This Row],[SU Mik]]</f>
        <v>0</v>
      </c>
    </row>
    <row r="212" spans="1:16" ht="15" customHeight="1" x14ac:dyDescent="0.2">
      <c r="A212" s="30" t="s">
        <v>44</v>
      </c>
      <c r="B212" s="36"/>
      <c r="C212" s="31">
        <v>0.21</v>
      </c>
      <c r="D212" s="31">
        <v>0.02</v>
      </c>
      <c r="E212" s="32">
        <f t="shared" si="3"/>
        <v>0.77</v>
      </c>
      <c r="F212" s="33" t="s">
        <v>25</v>
      </c>
      <c r="G212" s="34" t="s">
        <v>768</v>
      </c>
      <c r="H212" s="57" t="e">
        <f>((Tablo1[[#This Row],[Esans Fiyat]]/#REF!*Tablo1[[#This Row],[Esans]]*100)+(#REF!/1000*Tablo1[[#This Row],[Su]]*100)+(#REF!/1000*Tablo1[[#This Row],[Alkol]]*100))*(#REF!/100)+#REF!</f>
        <v>#REF!</v>
      </c>
      <c r="I212" s="33" t="s">
        <v>772</v>
      </c>
      <c r="J212" s="51" t="e">
        <f>#REF!*Tablo1[[#This Row],[Esans]]</f>
        <v>#REF!</v>
      </c>
      <c r="K212" s="51" t="e">
        <f>#REF!*Tablo1[[#This Row],[Su]]</f>
        <v>#REF!</v>
      </c>
      <c r="L212" s="51" t="e">
        <f>#REF!*Tablo1[[#This Row],[Alkol]]</f>
        <v>#REF!</v>
      </c>
      <c r="M212" s="44"/>
      <c r="N212" s="51">
        <f>(Tablo1[[#This Row],[KALAN ESANS]]/Tablo1[[#This Row],[Esans]]*0.01)*(Tablo1[[#This Row],[Alkol]]*100)</f>
        <v>0</v>
      </c>
      <c r="O212" s="51">
        <f>(Tablo1[[#This Row],[KALAN ESANS]]/Tablo1[[#This Row],[Esans]]*0.01)*(Tablo1[[#This Row],[Su]]*100)</f>
        <v>0</v>
      </c>
      <c r="P212" s="51">
        <f>Tablo1[[#This Row],[KALAN ESANS]]+Tablo1[[#This Row],[ALKOL Mik]]+Tablo1[[#This Row],[SU Mik]]</f>
        <v>0</v>
      </c>
    </row>
    <row r="213" spans="1:16" ht="15" customHeight="1" x14ac:dyDescent="0.2">
      <c r="A213" s="30" t="s">
        <v>43</v>
      </c>
      <c r="B213" s="36"/>
      <c r="C213" s="31">
        <v>0.17</v>
      </c>
      <c r="D213" s="31">
        <v>0.02</v>
      </c>
      <c r="E213" s="32">
        <f t="shared" si="3"/>
        <v>0.80999999999999994</v>
      </c>
      <c r="F213" s="33" t="s">
        <v>25</v>
      </c>
      <c r="G213" s="34" t="s">
        <v>768</v>
      </c>
      <c r="H213" s="57" t="e">
        <f>((Tablo1[[#This Row],[Esans Fiyat]]/#REF!*Tablo1[[#This Row],[Esans]]*100)+(#REF!/1000*Tablo1[[#This Row],[Su]]*100)+(#REF!/1000*Tablo1[[#This Row],[Alkol]]*100))*(#REF!/100)+#REF!</f>
        <v>#REF!</v>
      </c>
      <c r="I213" s="33" t="s">
        <v>772</v>
      </c>
      <c r="J213" s="51" t="e">
        <f>#REF!*Tablo1[[#This Row],[Esans]]</f>
        <v>#REF!</v>
      </c>
      <c r="K213" s="51" t="e">
        <f>#REF!*Tablo1[[#This Row],[Su]]</f>
        <v>#REF!</v>
      </c>
      <c r="L213" s="51" t="e">
        <f>#REF!*Tablo1[[#This Row],[Alkol]]</f>
        <v>#REF!</v>
      </c>
      <c r="M213" s="44"/>
      <c r="N213" s="51">
        <f>(Tablo1[[#This Row],[KALAN ESANS]]/Tablo1[[#This Row],[Esans]]*0.01)*(Tablo1[[#This Row],[Alkol]]*100)</f>
        <v>0</v>
      </c>
      <c r="O213" s="51">
        <f>(Tablo1[[#This Row],[KALAN ESANS]]/Tablo1[[#This Row],[Esans]]*0.01)*(Tablo1[[#This Row],[Su]]*100)</f>
        <v>0</v>
      </c>
      <c r="P213" s="51">
        <f>Tablo1[[#This Row],[KALAN ESANS]]+Tablo1[[#This Row],[ALKOL Mik]]+Tablo1[[#This Row],[SU Mik]]</f>
        <v>0</v>
      </c>
    </row>
    <row r="214" spans="1:16" ht="15" customHeight="1" x14ac:dyDescent="0.2">
      <c r="A214" s="30" t="s">
        <v>82</v>
      </c>
      <c r="B214" s="36"/>
      <c r="C214" s="31">
        <v>0.2</v>
      </c>
      <c r="D214" s="31">
        <v>0.02</v>
      </c>
      <c r="E214" s="32">
        <f t="shared" si="3"/>
        <v>0.78</v>
      </c>
      <c r="F214" s="33" t="s">
        <v>25</v>
      </c>
      <c r="G214" s="34" t="s">
        <v>768</v>
      </c>
      <c r="H214" s="57" t="e">
        <f>((Tablo1[[#This Row],[Esans Fiyat]]/#REF!*Tablo1[[#This Row],[Esans]]*100)+(#REF!/1000*Tablo1[[#This Row],[Su]]*100)+(#REF!/1000*Tablo1[[#This Row],[Alkol]]*100))*(#REF!/100)+#REF!</f>
        <v>#REF!</v>
      </c>
      <c r="I214" s="33" t="s">
        <v>776</v>
      </c>
      <c r="J214" s="51" t="e">
        <f>#REF!*Tablo1[[#This Row],[Esans]]</f>
        <v>#REF!</v>
      </c>
      <c r="K214" s="51" t="e">
        <f>#REF!*Tablo1[[#This Row],[Su]]</f>
        <v>#REF!</v>
      </c>
      <c r="L214" s="51" t="e">
        <f>#REF!*Tablo1[[#This Row],[Alkol]]</f>
        <v>#REF!</v>
      </c>
      <c r="M214" s="44"/>
      <c r="N214" s="51">
        <f>(Tablo1[[#This Row],[KALAN ESANS]]/Tablo1[[#This Row],[Esans]]*0.01)*(Tablo1[[#This Row],[Alkol]]*100)</f>
        <v>0</v>
      </c>
      <c r="O214" s="51">
        <f>(Tablo1[[#This Row],[KALAN ESANS]]/Tablo1[[#This Row],[Esans]]*0.01)*(Tablo1[[#This Row],[Su]]*100)</f>
        <v>0</v>
      </c>
      <c r="P214" s="51">
        <f>Tablo1[[#This Row],[KALAN ESANS]]+Tablo1[[#This Row],[ALKOL Mik]]+Tablo1[[#This Row],[SU Mik]]</f>
        <v>0</v>
      </c>
    </row>
    <row r="215" spans="1:16" ht="15" customHeight="1" x14ac:dyDescent="0.2">
      <c r="A215" s="30" t="s">
        <v>81</v>
      </c>
      <c r="B215" s="36"/>
      <c r="C215" s="31">
        <v>0.15</v>
      </c>
      <c r="D215" s="31">
        <v>0</v>
      </c>
      <c r="E215" s="32">
        <f t="shared" si="3"/>
        <v>0.85</v>
      </c>
      <c r="F215" s="33" t="s">
        <v>28</v>
      </c>
      <c r="G215" s="34" t="s">
        <v>768</v>
      </c>
      <c r="H215" s="57" t="e">
        <f>((Tablo1[[#This Row],[Esans Fiyat]]/#REF!*Tablo1[[#This Row],[Esans]]*100)+(#REF!/1000*Tablo1[[#This Row],[Su]]*100)+(#REF!/1000*Tablo1[[#This Row],[Alkol]]*100))*(#REF!/100)+#REF!</f>
        <v>#REF!</v>
      </c>
      <c r="I215" s="33" t="s">
        <v>776</v>
      </c>
      <c r="J215" s="51" t="e">
        <f>#REF!*Tablo1[[#This Row],[Esans]]</f>
        <v>#REF!</v>
      </c>
      <c r="K215" s="51" t="e">
        <f>#REF!*Tablo1[[#This Row],[Su]]</f>
        <v>#REF!</v>
      </c>
      <c r="L215" s="51" t="e">
        <f>#REF!*Tablo1[[#This Row],[Alkol]]</f>
        <v>#REF!</v>
      </c>
      <c r="M215" s="44"/>
      <c r="N215" s="51">
        <f>(Tablo1[[#This Row],[KALAN ESANS]]/Tablo1[[#This Row],[Esans]]*0.01)*(Tablo1[[#This Row],[Alkol]]*100)</f>
        <v>0</v>
      </c>
      <c r="O215" s="51">
        <f>(Tablo1[[#This Row],[KALAN ESANS]]/Tablo1[[#This Row],[Esans]]*0.01)*(Tablo1[[#This Row],[Su]]*100)</f>
        <v>0</v>
      </c>
      <c r="P215" s="51">
        <f>Tablo1[[#This Row],[KALAN ESANS]]+Tablo1[[#This Row],[ALKOL Mik]]+Tablo1[[#This Row],[SU Mik]]</f>
        <v>0</v>
      </c>
    </row>
    <row r="216" spans="1:16" ht="15" customHeight="1" x14ac:dyDescent="0.2">
      <c r="A216" s="30" t="s">
        <v>80</v>
      </c>
      <c r="B216" s="36"/>
      <c r="C216" s="31">
        <v>0.15</v>
      </c>
      <c r="D216" s="31">
        <v>0.02</v>
      </c>
      <c r="E216" s="32">
        <f t="shared" si="3"/>
        <v>0.83</v>
      </c>
      <c r="F216" s="33" t="s">
        <v>28</v>
      </c>
      <c r="G216" s="34" t="s">
        <v>768</v>
      </c>
      <c r="H216" s="57" t="e">
        <f>((Tablo1[[#This Row],[Esans Fiyat]]/#REF!*Tablo1[[#This Row],[Esans]]*100)+(#REF!/1000*Tablo1[[#This Row],[Su]]*100)+(#REF!/1000*Tablo1[[#This Row],[Alkol]]*100))*(#REF!/100)+#REF!</f>
        <v>#REF!</v>
      </c>
      <c r="I216" s="33" t="s">
        <v>772</v>
      </c>
      <c r="J216" s="51" t="e">
        <f>#REF!*Tablo1[[#This Row],[Esans]]</f>
        <v>#REF!</v>
      </c>
      <c r="K216" s="51" t="e">
        <f>#REF!*Tablo1[[#This Row],[Su]]</f>
        <v>#REF!</v>
      </c>
      <c r="L216" s="51" t="e">
        <f>#REF!*Tablo1[[#This Row],[Alkol]]</f>
        <v>#REF!</v>
      </c>
      <c r="M216" s="44"/>
      <c r="N216" s="51">
        <f>(Tablo1[[#This Row],[KALAN ESANS]]/Tablo1[[#This Row],[Esans]]*0.01)*(Tablo1[[#This Row],[Alkol]]*100)</f>
        <v>0</v>
      </c>
      <c r="O216" s="51">
        <f>(Tablo1[[#This Row],[KALAN ESANS]]/Tablo1[[#This Row],[Esans]]*0.01)*(Tablo1[[#This Row],[Su]]*100)</f>
        <v>0</v>
      </c>
      <c r="P216" s="51">
        <f>Tablo1[[#This Row],[KALAN ESANS]]+Tablo1[[#This Row],[ALKOL Mik]]+Tablo1[[#This Row],[SU Mik]]</f>
        <v>0</v>
      </c>
    </row>
    <row r="217" spans="1:16" ht="15" customHeight="1" x14ac:dyDescent="0.2">
      <c r="A217" s="30" t="s">
        <v>79</v>
      </c>
      <c r="B217" s="36"/>
      <c r="C217" s="31">
        <v>0.15</v>
      </c>
      <c r="D217" s="31">
        <v>0</v>
      </c>
      <c r="E217" s="32">
        <f t="shared" si="3"/>
        <v>0.85</v>
      </c>
      <c r="F217" s="33" t="s">
        <v>28</v>
      </c>
      <c r="G217" s="34" t="s">
        <v>768</v>
      </c>
      <c r="H217" s="57" t="e">
        <f>((Tablo1[[#This Row],[Esans Fiyat]]/#REF!*Tablo1[[#This Row],[Esans]]*100)+(#REF!/1000*Tablo1[[#This Row],[Su]]*100)+(#REF!/1000*Tablo1[[#This Row],[Alkol]]*100))*(#REF!/100)+#REF!</f>
        <v>#REF!</v>
      </c>
      <c r="I217" s="33" t="s">
        <v>776</v>
      </c>
      <c r="J217" s="51" t="e">
        <f>#REF!*Tablo1[[#This Row],[Esans]]</f>
        <v>#REF!</v>
      </c>
      <c r="K217" s="51" t="e">
        <f>#REF!*Tablo1[[#This Row],[Su]]</f>
        <v>#REF!</v>
      </c>
      <c r="L217" s="51" t="e">
        <f>#REF!*Tablo1[[#This Row],[Alkol]]</f>
        <v>#REF!</v>
      </c>
      <c r="M217" s="44"/>
      <c r="N217" s="51">
        <f>(Tablo1[[#This Row],[KALAN ESANS]]/Tablo1[[#This Row],[Esans]]*0.01)*(Tablo1[[#This Row],[Alkol]]*100)</f>
        <v>0</v>
      </c>
      <c r="O217" s="51">
        <f>(Tablo1[[#This Row],[KALAN ESANS]]/Tablo1[[#This Row],[Esans]]*0.01)*(Tablo1[[#This Row],[Su]]*100)</f>
        <v>0</v>
      </c>
      <c r="P217" s="51">
        <f>Tablo1[[#This Row],[KALAN ESANS]]+Tablo1[[#This Row],[ALKOL Mik]]+Tablo1[[#This Row],[SU Mik]]</f>
        <v>0</v>
      </c>
    </row>
    <row r="218" spans="1:16" ht="15" customHeight="1" x14ac:dyDescent="0.2">
      <c r="A218" s="30" t="s">
        <v>78</v>
      </c>
      <c r="B218" s="36"/>
      <c r="C218" s="31">
        <v>0.15</v>
      </c>
      <c r="D218" s="31">
        <v>0.02</v>
      </c>
      <c r="E218" s="32">
        <f t="shared" si="3"/>
        <v>0.83</v>
      </c>
      <c r="F218" s="33" t="s">
        <v>28</v>
      </c>
      <c r="G218" s="34" t="s">
        <v>768</v>
      </c>
      <c r="H218" s="57" t="e">
        <f>((Tablo1[[#This Row],[Esans Fiyat]]/#REF!*Tablo1[[#This Row],[Esans]]*100)+(#REF!/1000*Tablo1[[#This Row],[Su]]*100)+(#REF!/1000*Tablo1[[#This Row],[Alkol]]*100))*(#REF!/100)+#REF!</f>
        <v>#REF!</v>
      </c>
      <c r="I218" s="33" t="s">
        <v>776</v>
      </c>
      <c r="J218" s="51" t="e">
        <f>#REF!*Tablo1[[#This Row],[Esans]]</f>
        <v>#REF!</v>
      </c>
      <c r="K218" s="51" t="e">
        <f>#REF!*Tablo1[[#This Row],[Su]]</f>
        <v>#REF!</v>
      </c>
      <c r="L218" s="51" t="e">
        <f>#REF!*Tablo1[[#This Row],[Alkol]]</f>
        <v>#REF!</v>
      </c>
      <c r="M218" s="44"/>
      <c r="N218" s="51">
        <f>(Tablo1[[#This Row],[KALAN ESANS]]/Tablo1[[#This Row],[Esans]]*0.01)*(Tablo1[[#This Row],[Alkol]]*100)</f>
        <v>0</v>
      </c>
      <c r="O218" s="51">
        <f>(Tablo1[[#This Row],[KALAN ESANS]]/Tablo1[[#This Row],[Esans]]*0.01)*(Tablo1[[#This Row],[Su]]*100)</f>
        <v>0</v>
      </c>
      <c r="P218" s="51">
        <f>Tablo1[[#This Row],[KALAN ESANS]]+Tablo1[[#This Row],[ALKOL Mik]]+Tablo1[[#This Row],[SU Mik]]</f>
        <v>0</v>
      </c>
    </row>
    <row r="219" spans="1:16" ht="15" customHeight="1" x14ac:dyDescent="0.2">
      <c r="A219" s="30" t="s">
        <v>74</v>
      </c>
      <c r="B219" s="36"/>
      <c r="C219" s="31">
        <v>0.15</v>
      </c>
      <c r="D219" s="31">
        <v>0.02</v>
      </c>
      <c r="E219" s="32">
        <f t="shared" si="3"/>
        <v>0.83</v>
      </c>
      <c r="F219" s="33" t="s">
        <v>28</v>
      </c>
      <c r="G219" s="34" t="s">
        <v>768</v>
      </c>
      <c r="H219" s="57" t="e">
        <f>((Tablo1[[#This Row],[Esans Fiyat]]/#REF!*Tablo1[[#This Row],[Esans]]*100)+(#REF!/1000*Tablo1[[#This Row],[Su]]*100)+(#REF!/1000*Tablo1[[#This Row],[Alkol]]*100))*(#REF!/100)+#REF!</f>
        <v>#REF!</v>
      </c>
      <c r="I219" s="33" t="s">
        <v>776</v>
      </c>
      <c r="J219" s="51" t="e">
        <f>#REF!*Tablo1[[#This Row],[Esans]]</f>
        <v>#REF!</v>
      </c>
      <c r="K219" s="51" t="e">
        <f>#REF!*Tablo1[[#This Row],[Su]]</f>
        <v>#REF!</v>
      </c>
      <c r="L219" s="51" t="e">
        <f>#REF!*Tablo1[[#This Row],[Alkol]]</f>
        <v>#REF!</v>
      </c>
      <c r="M219" s="44"/>
      <c r="N219" s="51">
        <f>(Tablo1[[#This Row],[KALAN ESANS]]/Tablo1[[#This Row],[Esans]]*0.01)*(Tablo1[[#This Row],[Alkol]]*100)</f>
        <v>0</v>
      </c>
      <c r="O219" s="51">
        <f>(Tablo1[[#This Row],[KALAN ESANS]]/Tablo1[[#This Row],[Esans]]*0.01)*(Tablo1[[#This Row],[Su]]*100)</f>
        <v>0</v>
      </c>
      <c r="P219" s="51">
        <f>Tablo1[[#This Row],[KALAN ESANS]]+Tablo1[[#This Row],[ALKOL Mik]]+Tablo1[[#This Row],[SU Mik]]</f>
        <v>0</v>
      </c>
    </row>
    <row r="220" spans="1:16" ht="15" customHeight="1" x14ac:dyDescent="0.2">
      <c r="A220" s="30" t="s">
        <v>75</v>
      </c>
      <c r="B220" s="36"/>
      <c r="C220" s="31">
        <v>0.15</v>
      </c>
      <c r="D220" s="31">
        <v>0.02</v>
      </c>
      <c r="E220" s="32">
        <f t="shared" si="3"/>
        <v>0.83</v>
      </c>
      <c r="F220" s="33" t="s">
        <v>28</v>
      </c>
      <c r="G220" s="34" t="s">
        <v>768</v>
      </c>
      <c r="H220" s="57" t="e">
        <f>((Tablo1[[#This Row],[Esans Fiyat]]/#REF!*Tablo1[[#This Row],[Esans]]*100)+(#REF!/1000*Tablo1[[#This Row],[Su]]*100)+(#REF!/1000*Tablo1[[#This Row],[Alkol]]*100))*(#REF!/100)+#REF!</f>
        <v>#REF!</v>
      </c>
      <c r="I220" s="33" t="s">
        <v>776</v>
      </c>
      <c r="J220" s="51" t="e">
        <f>#REF!*Tablo1[[#This Row],[Esans]]</f>
        <v>#REF!</v>
      </c>
      <c r="K220" s="51" t="e">
        <f>#REF!*Tablo1[[#This Row],[Su]]</f>
        <v>#REF!</v>
      </c>
      <c r="L220" s="51" t="e">
        <f>#REF!*Tablo1[[#This Row],[Alkol]]</f>
        <v>#REF!</v>
      </c>
      <c r="M220" s="44"/>
      <c r="N220" s="51">
        <f>(Tablo1[[#This Row],[KALAN ESANS]]/Tablo1[[#This Row],[Esans]]*0.01)*(Tablo1[[#This Row],[Alkol]]*100)</f>
        <v>0</v>
      </c>
      <c r="O220" s="51">
        <f>(Tablo1[[#This Row],[KALAN ESANS]]/Tablo1[[#This Row],[Esans]]*0.01)*(Tablo1[[#This Row],[Su]]*100)</f>
        <v>0</v>
      </c>
      <c r="P220" s="51">
        <f>Tablo1[[#This Row],[KALAN ESANS]]+Tablo1[[#This Row],[ALKOL Mik]]+Tablo1[[#This Row],[SU Mik]]</f>
        <v>0</v>
      </c>
    </row>
    <row r="221" spans="1:16" ht="15" customHeight="1" x14ac:dyDescent="0.2">
      <c r="A221" s="30" t="s">
        <v>77</v>
      </c>
      <c r="B221" s="36"/>
      <c r="C221" s="31">
        <v>0.15</v>
      </c>
      <c r="D221" s="31">
        <v>0.02</v>
      </c>
      <c r="E221" s="32">
        <f t="shared" si="3"/>
        <v>0.83</v>
      </c>
      <c r="F221" s="33" t="s">
        <v>28</v>
      </c>
      <c r="G221" s="34" t="s">
        <v>768</v>
      </c>
      <c r="H221" s="57" t="e">
        <f>((Tablo1[[#This Row],[Esans Fiyat]]/#REF!*Tablo1[[#This Row],[Esans]]*100)+(#REF!/1000*Tablo1[[#This Row],[Su]]*100)+(#REF!/1000*Tablo1[[#This Row],[Alkol]]*100))*(#REF!/100)+#REF!</f>
        <v>#REF!</v>
      </c>
      <c r="I221" s="33" t="s">
        <v>776</v>
      </c>
      <c r="J221" s="51" t="e">
        <f>#REF!*Tablo1[[#This Row],[Esans]]</f>
        <v>#REF!</v>
      </c>
      <c r="K221" s="51" t="e">
        <f>#REF!*Tablo1[[#This Row],[Su]]</f>
        <v>#REF!</v>
      </c>
      <c r="L221" s="51" t="e">
        <f>#REF!*Tablo1[[#This Row],[Alkol]]</f>
        <v>#REF!</v>
      </c>
      <c r="M221" s="44"/>
      <c r="N221" s="51">
        <f>(Tablo1[[#This Row],[KALAN ESANS]]/Tablo1[[#This Row],[Esans]]*0.01)*(Tablo1[[#This Row],[Alkol]]*100)</f>
        <v>0</v>
      </c>
      <c r="O221" s="51">
        <f>(Tablo1[[#This Row],[KALAN ESANS]]/Tablo1[[#This Row],[Esans]]*0.01)*(Tablo1[[#This Row],[Su]]*100)</f>
        <v>0</v>
      </c>
      <c r="P221" s="51">
        <f>Tablo1[[#This Row],[KALAN ESANS]]+Tablo1[[#This Row],[ALKOL Mik]]+Tablo1[[#This Row],[SU Mik]]</f>
        <v>0</v>
      </c>
    </row>
    <row r="222" spans="1:16" ht="15" customHeight="1" x14ac:dyDescent="0.2">
      <c r="A222" s="30" t="s">
        <v>76</v>
      </c>
      <c r="B222" s="36"/>
      <c r="C222" s="31">
        <v>0.15</v>
      </c>
      <c r="D222" s="31">
        <v>0.02</v>
      </c>
      <c r="E222" s="32">
        <f t="shared" si="3"/>
        <v>0.83</v>
      </c>
      <c r="F222" s="33" t="s">
        <v>28</v>
      </c>
      <c r="G222" s="34" t="s">
        <v>768</v>
      </c>
      <c r="H222" s="57" t="e">
        <f>((Tablo1[[#This Row],[Esans Fiyat]]/#REF!*Tablo1[[#This Row],[Esans]]*100)+(#REF!/1000*Tablo1[[#This Row],[Su]]*100)+(#REF!/1000*Tablo1[[#This Row],[Alkol]]*100))*(#REF!/100)+#REF!</f>
        <v>#REF!</v>
      </c>
      <c r="I222" s="33" t="s">
        <v>776</v>
      </c>
      <c r="J222" s="51" t="e">
        <f>#REF!*Tablo1[[#This Row],[Esans]]</f>
        <v>#REF!</v>
      </c>
      <c r="K222" s="51" t="e">
        <f>#REF!*Tablo1[[#This Row],[Su]]</f>
        <v>#REF!</v>
      </c>
      <c r="L222" s="51" t="e">
        <f>#REF!*Tablo1[[#This Row],[Alkol]]</f>
        <v>#REF!</v>
      </c>
      <c r="M222" s="44"/>
      <c r="N222" s="51">
        <f>(Tablo1[[#This Row],[KALAN ESANS]]/Tablo1[[#This Row],[Esans]]*0.01)*(Tablo1[[#This Row],[Alkol]]*100)</f>
        <v>0</v>
      </c>
      <c r="O222" s="51">
        <f>(Tablo1[[#This Row],[KALAN ESANS]]/Tablo1[[#This Row],[Esans]]*0.01)*(Tablo1[[#This Row],[Su]]*100)</f>
        <v>0</v>
      </c>
      <c r="P222" s="51">
        <f>Tablo1[[#This Row],[KALAN ESANS]]+Tablo1[[#This Row],[ALKOL Mik]]+Tablo1[[#This Row],[SU Mik]]</f>
        <v>0</v>
      </c>
    </row>
    <row r="223" spans="1:16" ht="15" customHeight="1" x14ac:dyDescent="0.2">
      <c r="A223" s="30" t="s">
        <v>71</v>
      </c>
      <c r="B223" s="36"/>
      <c r="C223" s="31">
        <v>0.15</v>
      </c>
      <c r="D223" s="31">
        <v>0.02</v>
      </c>
      <c r="E223" s="32">
        <f t="shared" si="3"/>
        <v>0.83</v>
      </c>
      <c r="F223" s="33" t="s">
        <v>28</v>
      </c>
      <c r="G223" s="34" t="s">
        <v>768</v>
      </c>
      <c r="H223" s="57" t="e">
        <f>((Tablo1[[#This Row],[Esans Fiyat]]/#REF!*Tablo1[[#This Row],[Esans]]*100)+(#REF!/1000*Tablo1[[#This Row],[Su]]*100)+(#REF!/1000*Tablo1[[#This Row],[Alkol]]*100))*(#REF!/100)+#REF!</f>
        <v>#REF!</v>
      </c>
      <c r="I223" s="33" t="s">
        <v>776</v>
      </c>
      <c r="J223" s="51" t="e">
        <f>#REF!*Tablo1[[#This Row],[Esans]]</f>
        <v>#REF!</v>
      </c>
      <c r="K223" s="51" t="e">
        <f>#REF!*Tablo1[[#This Row],[Su]]</f>
        <v>#REF!</v>
      </c>
      <c r="L223" s="51" t="e">
        <f>#REF!*Tablo1[[#This Row],[Alkol]]</f>
        <v>#REF!</v>
      </c>
      <c r="M223" s="44"/>
      <c r="N223" s="51">
        <f>(Tablo1[[#This Row],[KALAN ESANS]]/Tablo1[[#This Row],[Esans]]*0.01)*(Tablo1[[#This Row],[Alkol]]*100)</f>
        <v>0</v>
      </c>
      <c r="O223" s="51">
        <f>(Tablo1[[#This Row],[KALAN ESANS]]/Tablo1[[#This Row],[Esans]]*0.01)*(Tablo1[[#This Row],[Su]]*100)</f>
        <v>0</v>
      </c>
      <c r="P223" s="51">
        <f>Tablo1[[#This Row],[KALAN ESANS]]+Tablo1[[#This Row],[ALKOL Mik]]+Tablo1[[#This Row],[SU Mik]]</f>
        <v>0</v>
      </c>
    </row>
    <row r="224" spans="1:16" ht="15" customHeight="1" x14ac:dyDescent="0.2">
      <c r="A224" s="30" t="s">
        <v>73</v>
      </c>
      <c r="B224" s="36"/>
      <c r="C224" s="31">
        <v>0.15</v>
      </c>
      <c r="D224" s="31">
        <v>0.02</v>
      </c>
      <c r="E224" s="32">
        <f t="shared" si="3"/>
        <v>0.83</v>
      </c>
      <c r="F224" s="33" t="s">
        <v>28</v>
      </c>
      <c r="G224" s="34" t="s">
        <v>768</v>
      </c>
      <c r="H224" s="57" t="e">
        <f>((Tablo1[[#This Row],[Esans Fiyat]]/#REF!*Tablo1[[#This Row],[Esans]]*100)+(#REF!/1000*Tablo1[[#This Row],[Su]]*100)+(#REF!/1000*Tablo1[[#This Row],[Alkol]]*100))*(#REF!/100)+#REF!</f>
        <v>#REF!</v>
      </c>
      <c r="I224" s="33" t="s">
        <v>776</v>
      </c>
      <c r="J224" s="51" t="e">
        <f>#REF!*Tablo1[[#This Row],[Esans]]</f>
        <v>#REF!</v>
      </c>
      <c r="K224" s="51" t="e">
        <f>#REF!*Tablo1[[#This Row],[Su]]</f>
        <v>#REF!</v>
      </c>
      <c r="L224" s="51" t="e">
        <f>#REF!*Tablo1[[#This Row],[Alkol]]</f>
        <v>#REF!</v>
      </c>
      <c r="M224" s="44"/>
      <c r="N224" s="51">
        <f>(Tablo1[[#This Row],[KALAN ESANS]]/Tablo1[[#This Row],[Esans]]*0.01)*(Tablo1[[#This Row],[Alkol]]*100)</f>
        <v>0</v>
      </c>
      <c r="O224" s="51">
        <f>(Tablo1[[#This Row],[KALAN ESANS]]/Tablo1[[#This Row],[Esans]]*0.01)*(Tablo1[[#This Row],[Su]]*100)</f>
        <v>0</v>
      </c>
      <c r="P224" s="51">
        <f>Tablo1[[#This Row],[KALAN ESANS]]+Tablo1[[#This Row],[ALKOL Mik]]+Tablo1[[#This Row],[SU Mik]]</f>
        <v>0</v>
      </c>
    </row>
    <row r="225" spans="1:16" ht="15" customHeight="1" x14ac:dyDescent="0.2">
      <c r="A225" s="30" t="s">
        <v>70</v>
      </c>
      <c r="B225" s="36"/>
      <c r="C225" s="31">
        <v>0.17</v>
      </c>
      <c r="D225" s="31">
        <v>0.02</v>
      </c>
      <c r="E225" s="32">
        <f t="shared" si="3"/>
        <v>0.80999999999999994</v>
      </c>
      <c r="F225" s="33" t="s">
        <v>25</v>
      </c>
      <c r="G225" s="34" t="s">
        <v>768</v>
      </c>
      <c r="H225" s="57" t="e">
        <f>((Tablo1[[#This Row],[Esans Fiyat]]/#REF!*Tablo1[[#This Row],[Esans]]*100)+(#REF!/1000*Tablo1[[#This Row],[Su]]*100)+(#REF!/1000*Tablo1[[#This Row],[Alkol]]*100))*(#REF!/100)+#REF!</f>
        <v>#REF!</v>
      </c>
      <c r="I225" s="33" t="s">
        <v>772</v>
      </c>
      <c r="J225" s="51" t="e">
        <f>#REF!*Tablo1[[#This Row],[Esans]]</f>
        <v>#REF!</v>
      </c>
      <c r="K225" s="51" t="e">
        <f>#REF!*Tablo1[[#This Row],[Su]]</f>
        <v>#REF!</v>
      </c>
      <c r="L225" s="51" t="e">
        <f>#REF!*Tablo1[[#This Row],[Alkol]]</f>
        <v>#REF!</v>
      </c>
      <c r="M225" s="44"/>
      <c r="N225" s="51">
        <f>(Tablo1[[#This Row],[KALAN ESANS]]/Tablo1[[#This Row],[Esans]]*0.01)*(Tablo1[[#This Row],[Alkol]]*100)</f>
        <v>0</v>
      </c>
      <c r="O225" s="51">
        <f>(Tablo1[[#This Row],[KALAN ESANS]]/Tablo1[[#This Row],[Esans]]*0.01)*(Tablo1[[#This Row],[Su]]*100)</f>
        <v>0</v>
      </c>
      <c r="P225" s="51">
        <f>Tablo1[[#This Row],[KALAN ESANS]]+Tablo1[[#This Row],[ALKOL Mik]]+Tablo1[[#This Row],[SU Mik]]</f>
        <v>0</v>
      </c>
    </row>
    <row r="226" spans="1:16" ht="15" customHeight="1" x14ac:dyDescent="0.2">
      <c r="A226" s="30" t="s">
        <v>69</v>
      </c>
      <c r="B226" s="36"/>
      <c r="C226" s="31">
        <v>0.2</v>
      </c>
      <c r="D226" s="31">
        <v>0.02</v>
      </c>
      <c r="E226" s="32">
        <f t="shared" si="3"/>
        <v>0.78</v>
      </c>
      <c r="F226" s="33" t="s">
        <v>25</v>
      </c>
      <c r="G226" s="34" t="s">
        <v>768</v>
      </c>
      <c r="H226" s="57" t="e">
        <f>((Tablo1[[#This Row],[Esans Fiyat]]/#REF!*Tablo1[[#This Row],[Esans]]*100)+(#REF!/1000*Tablo1[[#This Row],[Su]]*100)+(#REF!/1000*Tablo1[[#This Row],[Alkol]]*100))*(#REF!/100)+#REF!</f>
        <v>#REF!</v>
      </c>
      <c r="I226" s="33" t="s">
        <v>776</v>
      </c>
      <c r="J226" s="51" t="e">
        <f>#REF!*Tablo1[[#This Row],[Esans]]</f>
        <v>#REF!</v>
      </c>
      <c r="K226" s="51" t="e">
        <f>#REF!*Tablo1[[#This Row],[Su]]</f>
        <v>#REF!</v>
      </c>
      <c r="L226" s="51" t="e">
        <f>#REF!*Tablo1[[#This Row],[Alkol]]</f>
        <v>#REF!</v>
      </c>
      <c r="M226" s="44"/>
      <c r="N226" s="51">
        <f>(Tablo1[[#This Row],[KALAN ESANS]]/Tablo1[[#This Row],[Esans]]*0.01)*(Tablo1[[#This Row],[Alkol]]*100)</f>
        <v>0</v>
      </c>
      <c r="O226" s="51">
        <f>(Tablo1[[#This Row],[KALAN ESANS]]/Tablo1[[#This Row],[Esans]]*0.01)*(Tablo1[[#This Row],[Su]]*100)</f>
        <v>0</v>
      </c>
      <c r="P226" s="51">
        <f>Tablo1[[#This Row],[KALAN ESANS]]+Tablo1[[#This Row],[ALKOL Mik]]+Tablo1[[#This Row],[SU Mik]]</f>
        <v>0</v>
      </c>
    </row>
    <row r="227" spans="1:16" ht="15" customHeight="1" x14ac:dyDescent="0.2">
      <c r="A227" s="30" t="s">
        <v>72</v>
      </c>
      <c r="B227" s="36"/>
      <c r="C227" s="31">
        <v>0.15</v>
      </c>
      <c r="D227" s="31">
        <v>0.02</v>
      </c>
      <c r="E227" s="32">
        <f t="shared" si="3"/>
        <v>0.83</v>
      </c>
      <c r="F227" s="33" t="s">
        <v>28</v>
      </c>
      <c r="G227" s="34" t="s">
        <v>768</v>
      </c>
      <c r="H227" s="57" t="e">
        <f>((Tablo1[[#This Row],[Esans Fiyat]]/#REF!*Tablo1[[#This Row],[Esans]]*100)+(#REF!/1000*Tablo1[[#This Row],[Su]]*100)+(#REF!/1000*Tablo1[[#This Row],[Alkol]]*100))*(#REF!/100)+#REF!</f>
        <v>#REF!</v>
      </c>
      <c r="I227" s="33" t="s">
        <v>776</v>
      </c>
      <c r="J227" s="51" t="e">
        <f>#REF!*Tablo1[[#This Row],[Esans]]</f>
        <v>#REF!</v>
      </c>
      <c r="K227" s="51" t="e">
        <f>#REF!*Tablo1[[#This Row],[Su]]</f>
        <v>#REF!</v>
      </c>
      <c r="L227" s="51" t="e">
        <f>#REF!*Tablo1[[#This Row],[Alkol]]</f>
        <v>#REF!</v>
      </c>
      <c r="M227" s="44"/>
      <c r="N227" s="51">
        <f>(Tablo1[[#This Row],[KALAN ESANS]]/Tablo1[[#This Row],[Esans]]*0.01)*(Tablo1[[#This Row],[Alkol]]*100)</f>
        <v>0</v>
      </c>
      <c r="O227" s="51">
        <f>(Tablo1[[#This Row],[KALAN ESANS]]/Tablo1[[#This Row],[Esans]]*0.01)*(Tablo1[[#This Row],[Su]]*100)</f>
        <v>0</v>
      </c>
      <c r="P227" s="51">
        <f>Tablo1[[#This Row],[KALAN ESANS]]+Tablo1[[#This Row],[ALKOL Mik]]+Tablo1[[#This Row],[SU Mik]]</f>
        <v>0</v>
      </c>
    </row>
    <row r="228" spans="1:16" ht="15" customHeight="1" x14ac:dyDescent="0.2">
      <c r="A228" s="30" t="s">
        <v>67</v>
      </c>
      <c r="B228" s="36"/>
      <c r="C228" s="31">
        <v>0.15</v>
      </c>
      <c r="D228" s="31">
        <v>0.02</v>
      </c>
      <c r="E228" s="32">
        <f t="shared" si="3"/>
        <v>0.83</v>
      </c>
      <c r="F228" s="33" t="s">
        <v>28</v>
      </c>
      <c r="G228" s="34" t="s">
        <v>768</v>
      </c>
      <c r="H228" s="57" t="e">
        <f>((Tablo1[[#This Row],[Esans Fiyat]]/#REF!*Tablo1[[#This Row],[Esans]]*100)+(#REF!/1000*Tablo1[[#This Row],[Su]]*100)+(#REF!/1000*Tablo1[[#This Row],[Alkol]]*100))*(#REF!/100)+#REF!</f>
        <v>#REF!</v>
      </c>
      <c r="I228" s="33" t="s">
        <v>774</v>
      </c>
      <c r="J228" s="51" t="e">
        <f>#REF!*Tablo1[[#This Row],[Esans]]</f>
        <v>#REF!</v>
      </c>
      <c r="K228" s="51" t="e">
        <f>#REF!*Tablo1[[#This Row],[Su]]</f>
        <v>#REF!</v>
      </c>
      <c r="L228" s="51" t="e">
        <f>#REF!*Tablo1[[#This Row],[Alkol]]</f>
        <v>#REF!</v>
      </c>
      <c r="M228" s="44"/>
      <c r="N228" s="51">
        <f>(Tablo1[[#This Row],[KALAN ESANS]]/Tablo1[[#This Row],[Esans]]*0.01)*(Tablo1[[#This Row],[Alkol]]*100)</f>
        <v>0</v>
      </c>
      <c r="O228" s="51">
        <f>(Tablo1[[#This Row],[KALAN ESANS]]/Tablo1[[#This Row],[Esans]]*0.01)*(Tablo1[[#This Row],[Su]]*100)</f>
        <v>0</v>
      </c>
      <c r="P228" s="51">
        <f>Tablo1[[#This Row],[KALAN ESANS]]+Tablo1[[#This Row],[ALKOL Mik]]+Tablo1[[#This Row],[SU Mik]]</f>
        <v>0</v>
      </c>
    </row>
    <row r="229" spans="1:16" ht="15" customHeight="1" x14ac:dyDescent="0.2">
      <c r="A229" s="30" t="s">
        <v>66</v>
      </c>
      <c r="B229" s="36"/>
      <c r="C229" s="31">
        <v>0.19</v>
      </c>
      <c r="D229" s="31">
        <v>0</v>
      </c>
      <c r="E229" s="32">
        <f t="shared" si="3"/>
        <v>0.81</v>
      </c>
      <c r="F229" s="33" t="s">
        <v>25</v>
      </c>
      <c r="G229" s="34" t="s">
        <v>768</v>
      </c>
      <c r="H229" s="57" t="e">
        <f>((Tablo1[[#This Row],[Esans Fiyat]]/#REF!*Tablo1[[#This Row],[Esans]]*100)+(#REF!/1000*Tablo1[[#This Row],[Su]]*100)+(#REF!/1000*Tablo1[[#This Row],[Alkol]]*100))*(#REF!/100)+#REF!</f>
        <v>#REF!</v>
      </c>
      <c r="I229" s="33" t="s">
        <v>772</v>
      </c>
      <c r="J229" s="51" t="e">
        <f>#REF!*Tablo1[[#This Row],[Esans]]</f>
        <v>#REF!</v>
      </c>
      <c r="K229" s="51" t="e">
        <f>#REF!*Tablo1[[#This Row],[Su]]</f>
        <v>#REF!</v>
      </c>
      <c r="L229" s="51" t="e">
        <f>#REF!*Tablo1[[#This Row],[Alkol]]</f>
        <v>#REF!</v>
      </c>
      <c r="M229" s="44"/>
      <c r="N229" s="51">
        <f>(Tablo1[[#This Row],[KALAN ESANS]]/Tablo1[[#This Row],[Esans]]*0.01)*(Tablo1[[#This Row],[Alkol]]*100)</f>
        <v>0</v>
      </c>
      <c r="O229" s="51">
        <f>(Tablo1[[#This Row],[KALAN ESANS]]/Tablo1[[#This Row],[Esans]]*0.01)*(Tablo1[[#This Row],[Su]]*100)</f>
        <v>0</v>
      </c>
      <c r="P229" s="51">
        <f>Tablo1[[#This Row],[KALAN ESANS]]+Tablo1[[#This Row],[ALKOL Mik]]+Tablo1[[#This Row],[SU Mik]]</f>
        <v>0</v>
      </c>
    </row>
    <row r="230" spans="1:16" ht="15" customHeight="1" x14ac:dyDescent="0.2">
      <c r="A230" s="30" t="s">
        <v>68</v>
      </c>
      <c r="B230" s="36"/>
      <c r="C230" s="31">
        <v>0.15</v>
      </c>
      <c r="D230" s="31">
        <v>0</v>
      </c>
      <c r="E230" s="32">
        <f t="shared" si="3"/>
        <v>0.85</v>
      </c>
      <c r="F230" s="33" t="s">
        <v>28</v>
      </c>
      <c r="G230" s="34" t="s">
        <v>768</v>
      </c>
      <c r="H230" s="57" t="e">
        <f>((Tablo1[[#This Row],[Esans Fiyat]]/#REF!*Tablo1[[#This Row],[Esans]]*100)+(#REF!/1000*Tablo1[[#This Row],[Su]]*100)+(#REF!/1000*Tablo1[[#This Row],[Alkol]]*100))*(#REF!/100)+#REF!</f>
        <v>#REF!</v>
      </c>
      <c r="I230" s="33" t="s">
        <v>776</v>
      </c>
      <c r="J230" s="51" t="e">
        <f>#REF!*Tablo1[[#This Row],[Esans]]</f>
        <v>#REF!</v>
      </c>
      <c r="K230" s="51" t="e">
        <f>#REF!*Tablo1[[#This Row],[Su]]</f>
        <v>#REF!</v>
      </c>
      <c r="L230" s="51" t="e">
        <f>#REF!*Tablo1[[#This Row],[Alkol]]</f>
        <v>#REF!</v>
      </c>
      <c r="M230" s="44"/>
      <c r="N230" s="51">
        <f>(Tablo1[[#This Row],[KALAN ESANS]]/Tablo1[[#This Row],[Esans]]*0.01)*(Tablo1[[#This Row],[Alkol]]*100)</f>
        <v>0</v>
      </c>
      <c r="O230" s="51">
        <f>(Tablo1[[#This Row],[KALAN ESANS]]/Tablo1[[#This Row],[Esans]]*0.01)*(Tablo1[[#This Row],[Su]]*100)</f>
        <v>0</v>
      </c>
      <c r="P230" s="51">
        <f>Tablo1[[#This Row],[KALAN ESANS]]+Tablo1[[#This Row],[ALKOL Mik]]+Tablo1[[#This Row],[SU Mik]]</f>
        <v>0</v>
      </c>
    </row>
    <row r="231" spans="1:16" ht="15" customHeight="1" x14ac:dyDescent="0.2">
      <c r="A231" s="30" t="s">
        <v>65</v>
      </c>
      <c r="B231" s="36"/>
      <c r="C231" s="31">
        <v>0.15</v>
      </c>
      <c r="D231" s="31">
        <v>0</v>
      </c>
      <c r="E231" s="32">
        <f t="shared" si="3"/>
        <v>0.85</v>
      </c>
      <c r="F231" s="33" t="s">
        <v>28</v>
      </c>
      <c r="G231" s="34" t="s">
        <v>768</v>
      </c>
      <c r="H231" s="57" t="e">
        <f>((Tablo1[[#This Row],[Esans Fiyat]]/#REF!*Tablo1[[#This Row],[Esans]]*100)+(#REF!/1000*Tablo1[[#This Row],[Su]]*100)+(#REF!/1000*Tablo1[[#This Row],[Alkol]]*100))*(#REF!/100)+#REF!</f>
        <v>#REF!</v>
      </c>
      <c r="I231" s="33" t="s">
        <v>776</v>
      </c>
      <c r="J231" s="51" t="e">
        <f>#REF!*Tablo1[[#This Row],[Esans]]</f>
        <v>#REF!</v>
      </c>
      <c r="K231" s="51" t="e">
        <f>#REF!*Tablo1[[#This Row],[Su]]</f>
        <v>#REF!</v>
      </c>
      <c r="L231" s="51" t="e">
        <f>#REF!*Tablo1[[#This Row],[Alkol]]</f>
        <v>#REF!</v>
      </c>
      <c r="M231" s="44"/>
      <c r="N231" s="51">
        <f>(Tablo1[[#This Row],[KALAN ESANS]]/Tablo1[[#This Row],[Esans]]*0.01)*(Tablo1[[#This Row],[Alkol]]*100)</f>
        <v>0</v>
      </c>
      <c r="O231" s="51">
        <f>(Tablo1[[#This Row],[KALAN ESANS]]/Tablo1[[#This Row],[Esans]]*0.01)*(Tablo1[[#This Row],[Su]]*100)</f>
        <v>0</v>
      </c>
      <c r="P231" s="51">
        <f>Tablo1[[#This Row],[KALAN ESANS]]+Tablo1[[#This Row],[ALKOL Mik]]+Tablo1[[#This Row],[SU Mik]]</f>
        <v>0</v>
      </c>
    </row>
    <row r="232" spans="1:16" ht="15" customHeight="1" x14ac:dyDescent="0.2">
      <c r="A232" s="30" t="s">
        <v>64</v>
      </c>
      <c r="B232" s="36"/>
      <c r="C232" s="31">
        <v>0.15</v>
      </c>
      <c r="D232" s="31">
        <v>0.02</v>
      </c>
      <c r="E232" s="32">
        <f t="shared" si="3"/>
        <v>0.83</v>
      </c>
      <c r="F232" s="33" t="s">
        <v>28</v>
      </c>
      <c r="G232" s="34" t="s">
        <v>768</v>
      </c>
      <c r="H232" s="57" t="e">
        <f>((Tablo1[[#This Row],[Esans Fiyat]]/#REF!*Tablo1[[#This Row],[Esans]]*100)+(#REF!/1000*Tablo1[[#This Row],[Su]]*100)+(#REF!/1000*Tablo1[[#This Row],[Alkol]]*100))*(#REF!/100)+#REF!</f>
        <v>#REF!</v>
      </c>
      <c r="I232" s="33" t="s">
        <v>778</v>
      </c>
      <c r="J232" s="51" t="e">
        <f>#REF!*Tablo1[[#This Row],[Esans]]</f>
        <v>#REF!</v>
      </c>
      <c r="K232" s="51" t="e">
        <f>#REF!*Tablo1[[#This Row],[Su]]</f>
        <v>#REF!</v>
      </c>
      <c r="L232" s="51" t="e">
        <f>#REF!*Tablo1[[#This Row],[Alkol]]</f>
        <v>#REF!</v>
      </c>
      <c r="M232" s="44"/>
      <c r="N232" s="51">
        <f>(Tablo1[[#This Row],[KALAN ESANS]]/Tablo1[[#This Row],[Esans]]*0.01)*(Tablo1[[#This Row],[Alkol]]*100)</f>
        <v>0</v>
      </c>
      <c r="O232" s="51">
        <f>(Tablo1[[#This Row],[KALAN ESANS]]/Tablo1[[#This Row],[Esans]]*0.01)*(Tablo1[[#This Row],[Su]]*100)</f>
        <v>0</v>
      </c>
      <c r="P232" s="51">
        <f>Tablo1[[#This Row],[KALAN ESANS]]+Tablo1[[#This Row],[ALKOL Mik]]+Tablo1[[#This Row],[SU Mik]]</f>
        <v>0</v>
      </c>
    </row>
    <row r="233" spans="1:16" ht="15" customHeight="1" x14ac:dyDescent="0.2">
      <c r="A233" s="30" t="s">
        <v>63</v>
      </c>
      <c r="B233" s="36"/>
      <c r="C233" s="31">
        <v>0.15</v>
      </c>
      <c r="D233" s="31">
        <v>0</v>
      </c>
      <c r="E233" s="32">
        <f t="shared" si="3"/>
        <v>0.85</v>
      </c>
      <c r="F233" s="33" t="s">
        <v>28</v>
      </c>
      <c r="G233" s="34" t="s">
        <v>768</v>
      </c>
      <c r="H233" s="57" t="e">
        <f>((Tablo1[[#This Row],[Esans Fiyat]]/#REF!*Tablo1[[#This Row],[Esans]]*100)+(#REF!/1000*Tablo1[[#This Row],[Su]]*100)+(#REF!/1000*Tablo1[[#This Row],[Alkol]]*100))*(#REF!/100)+#REF!</f>
        <v>#REF!</v>
      </c>
      <c r="I233" s="33" t="s">
        <v>772</v>
      </c>
      <c r="J233" s="51" t="e">
        <f>#REF!*Tablo1[[#This Row],[Esans]]</f>
        <v>#REF!</v>
      </c>
      <c r="K233" s="51" t="e">
        <f>#REF!*Tablo1[[#This Row],[Su]]</f>
        <v>#REF!</v>
      </c>
      <c r="L233" s="51" t="e">
        <f>#REF!*Tablo1[[#This Row],[Alkol]]</f>
        <v>#REF!</v>
      </c>
      <c r="M233" s="44"/>
      <c r="N233" s="51">
        <f>(Tablo1[[#This Row],[KALAN ESANS]]/Tablo1[[#This Row],[Esans]]*0.01)*(Tablo1[[#This Row],[Alkol]]*100)</f>
        <v>0</v>
      </c>
      <c r="O233" s="51">
        <f>(Tablo1[[#This Row],[KALAN ESANS]]/Tablo1[[#This Row],[Esans]]*0.01)*(Tablo1[[#This Row],[Su]]*100)</f>
        <v>0</v>
      </c>
      <c r="P233" s="51">
        <f>Tablo1[[#This Row],[KALAN ESANS]]+Tablo1[[#This Row],[ALKOL Mik]]+Tablo1[[#This Row],[SU Mik]]</f>
        <v>0</v>
      </c>
    </row>
    <row r="234" spans="1:16" ht="15" customHeight="1" x14ac:dyDescent="0.2">
      <c r="A234" s="30" t="s">
        <v>62</v>
      </c>
      <c r="B234" s="36"/>
      <c r="C234" s="31">
        <v>0.2</v>
      </c>
      <c r="D234" s="31">
        <v>0.02</v>
      </c>
      <c r="E234" s="32">
        <f t="shared" si="3"/>
        <v>0.78</v>
      </c>
      <c r="F234" s="33" t="s">
        <v>25</v>
      </c>
      <c r="G234" s="34" t="s">
        <v>768</v>
      </c>
      <c r="H234" s="57" t="e">
        <f>((Tablo1[[#This Row],[Esans Fiyat]]/#REF!*Tablo1[[#This Row],[Esans]]*100)+(#REF!/1000*Tablo1[[#This Row],[Su]]*100)+(#REF!/1000*Tablo1[[#This Row],[Alkol]]*100))*(#REF!/100)+#REF!</f>
        <v>#REF!</v>
      </c>
      <c r="I234" s="33" t="s">
        <v>776</v>
      </c>
      <c r="J234" s="51" t="e">
        <f>#REF!*Tablo1[[#This Row],[Esans]]</f>
        <v>#REF!</v>
      </c>
      <c r="K234" s="51" t="e">
        <f>#REF!*Tablo1[[#This Row],[Su]]</f>
        <v>#REF!</v>
      </c>
      <c r="L234" s="51" t="e">
        <f>#REF!*Tablo1[[#This Row],[Alkol]]</f>
        <v>#REF!</v>
      </c>
      <c r="M234" s="44"/>
      <c r="N234" s="51">
        <f>(Tablo1[[#This Row],[KALAN ESANS]]/Tablo1[[#This Row],[Esans]]*0.01)*(Tablo1[[#This Row],[Alkol]]*100)</f>
        <v>0</v>
      </c>
      <c r="O234" s="51">
        <f>(Tablo1[[#This Row],[KALAN ESANS]]/Tablo1[[#This Row],[Esans]]*0.01)*(Tablo1[[#This Row],[Su]]*100)</f>
        <v>0</v>
      </c>
      <c r="P234" s="51">
        <f>Tablo1[[#This Row],[KALAN ESANS]]+Tablo1[[#This Row],[ALKOL Mik]]+Tablo1[[#This Row],[SU Mik]]</f>
        <v>0</v>
      </c>
    </row>
    <row r="235" spans="1:16" ht="15" customHeight="1" x14ac:dyDescent="0.2">
      <c r="A235" s="30" t="s">
        <v>61</v>
      </c>
      <c r="B235" s="36"/>
      <c r="C235" s="31">
        <v>0.15</v>
      </c>
      <c r="D235" s="31">
        <v>0.02</v>
      </c>
      <c r="E235" s="32">
        <f t="shared" si="3"/>
        <v>0.83</v>
      </c>
      <c r="F235" s="33" t="s">
        <v>28</v>
      </c>
      <c r="G235" s="34" t="s">
        <v>768</v>
      </c>
      <c r="H235" s="57" t="e">
        <f>((Tablo1[[#This Row],[Esans Fiyat]]/#REF!*Tablo1[[#This Row],[Esans]]*100)+(#REF!/1000*Tablo1[[#This Row],[Su]]*100)+(#REF!/1000*Tablo1[[#This Row],[Alkol]]*100))*(#REF!/100)+#REF!</f>
        <v>#REF!</v>
      </c>
      <c r="I235" s="33" t="s">
        <v>776</v>
      </c>
      <c r="J235" s="51" t="e">
        <f>#REF!*Tablo1[[#This Row],[Esans]]</f>
        <v>#REF!</v>
      </c>
      <c r="K235" s="51" t="e">
        <f>#REF!*Tablo1[[#This Row],[Su]]</f>
        <v>#REF!</v>
      </c>
      <c r="L235" s="51" t="e">
        <f>#REF!*Tablo1[[#This Row],[Alkol]]</f>
        <v>#REF!</v>
      </c>
      <c r="M235" s="44"/>
      <c r="N235" s="51">
        <f>(Tablo1[[#This Row],[KALAN ESANS]]/Tablo1[[#This Row],[Esans]]*0.01)*(Tablo1[[#This Row],[Alkol]]*100)</f>
        <v>0</v>
      </c>
      <c r="O235" s="51">
        <f>(Tablo1[[#This Row],[KALAN ESANS]]/Tablo1[[#This Row],[Esans]]*0.01)*(Tablo1[[#This Row],[Su]]*100)</f>
        <v>0</v>
      </c>
      <c r="P235" s="51">
        <f>Tablo1[[#This Row],[KALAN ESANS]]+Tablo1[[#This Row],[ALKOL Mik]]+Tablo1[[#This Row],[SU Mik]]</f>
        <v>0</v>
      </c>
    </row>
    <row r="236" spans="1:16" ht="15" customHeight="1" x14ac:dyDescent="0.2">
      <c r="A236" s="30" t="s">
        <v>60</v>
      </c>
      <c r="B236" s="36"/>
      <c r="C236" s="31">
        <v>0.2</v>
      </c>
      <c r="D236" s="31">
        <v>0.02</v>
      </c>
      <c r="E236" s="32">
        <f t="shared" si="3"/>
        <v>0.78</v>
      </c>
      <c r="F236" s="33" t="s">
        <v>25</v>
      </c>
      <c r="G236" s="34" t="s">
        <v>768</v>
      </c>
      <c r="H236" s="57" t="e">
        <f>((Tablo1[[#This Row],[Esans Fiyat]]/#REF!*Tablo1[[#This Row],[Esans]]*100)+(#REF!/1000*Tablo1[[#This Row],[Su]]*100)+(#REF!/1000*Tablo1[[#This Row],[Alkol]]*100))*(#REF!/100)+#REF!</f>
        <v>#REF!</v>
      </c>
      <c r="I236" s="33" t="s">
        <v>776</v>
      </c>
      <c r="J236" s="51" t="e">
        <f>#REF!*Tablo1[[#This Row],[Esans]]</f>
        <v>#REF!</v>
      </c>
      <c r="K236" s="51" t="e">
        <f>#REF!*Tablo1[[#This Row],[Su]]</f>
        <v>#REF!</v>
      </c>
      <c r="L236" s="51" t="e">
        <f>#REF!*Tablo1[[#This Row],[Alkol]]</f>
        <v>#REF!</v>
      </c>
      <c r="M236" s="44"/>
      <c r="N236" s="51">
        <f>(Tablo1[[#This Row],[KALAN ESANS]]/Tablo1[[#This Row],[Esans]]*0.01)*(Tablo1[[#This Row],[Alkol]]*100)</f>
        <v>0</v>
      </c>
      <c r="O236" s="51">
        <f>(Tablo1[[#This Row],[KALAN ESANS]]/Tablo1[[#This Row],[Esans]]*0.01)*(Tablo1[[#This Row],[Su]]*100)</f>
        <v>0</v>
      </c>
      <c r="P236" s="51">
        <f>Tablo1[[#This Row],[KALAN ESANS]]+Tablo1[[#This Row],[ALKOL Mik]]+Tablo1[[#This Row],[SU Mik]]</f>
        <v>0</v>
      </c>
    </row>
    <row r="237" spans="1:16" ht="15" customHeight="1" x14ac:dyDescent="0.2">
      <c r="A237" s="30" t="s">
        <v>39</v>
      </c>
      <c r="B237" s="36"/>
      <c r="C237" s="31">
        <v>0.2</v>
      </c>
      <c r="D237" s="31">
        <v>0.02</v>
      </c>
      <c r="E237" s="32">
        <f t="shared" si="3"/>
        <v>0.78</v>
      </c>
      <c r="F237" s="33" t="s">
        <v>25</v>
      </c>
      <c r="G237" s="34" t="s">
        <v>768</v>
      </c>
      <c r="H237" s="57" t="e">
        <f>((Tablo1[[#This Row],[Esans Fiyat]]/#REF!*Tablo1[[#This Row],[Esans]]*100)+(#REF!/1000*Tablo1[[#This Row],[Su]]*100)+(#REF!/1000*Tablo1[[#This Row],[Alkol]]*100))*(#REF!/100)+#REF!</f>
        <v>#REF!</v>
      </c>
      <c r="I237" s="33" t="s">
        <v>776</v>
      </c>
      <c r="J237" s="51" t="e">
        <f>#REF!*Tablo1[[#This Row],[Esans]]</f>
        <v>#REF!</v>
      </c>
      <c r="K237" s="51" t="e">
        <f>#REF!*Tablo1[[#This Row],[Su]]</f>
        <v>#REF!</v>
      </c>
      <c r="L237" s="51" t="e">
        <f>#REF!*Tablo1[[#This Row],[Alkol]]</f>
        <v>#REF!</v>
      </c>
      <c r="M237" s="44"/>
      <c r="N237" s="51">
        <f>(Tablo1[[#This Row],[KALAN ESANS]]/Tablo1[[#This Row],[Esans]]*0.01)*(Tablo1[[#This Row],[Alkol]]*100)</f>
        <v>0</v>
      </c>
      <c r="O237" s="51">
        <f>(Tablo1[[#This Row],[KALAN ESANS]]/Tablo1[[#This Row],[Esans]]*0.01)*(Tablo1[[#This Row],[Su]]*100)</f>
        <v>0</v>
      </c>
      <c r="P237" s="51">
        <f>Tablo1[[#This Row],[KALAN ESANS]]+Tablo1[[#This Row],[ALKOL Mik]]+Tablo1[[#This Row],[SU Mik]]</f>
        <v>0</v>
      </c>
    </row>
    <row r="238" spans="1:16" ht="15" customHeight="1" x14ac:dyDescent="0.2">
      <c r="A238" s="30" t="s">
        <v>24</v>
      </c>
      <c r="B238" s="36"/>
      <c r="C238" s="31">
        <v>0.15</v>
      </c>
      <c r="D238" s="31">
        <v>0</v>
      </c>
      <c r="E238" s="32">
        <f t="shared" si="3"/>
        <v>0.85</v>
      </c>
      <c r="F238" s="33" t="s">
        <v>28</v>
      </c>
      <c r="G238" s="34" t="s">
        <v>768</v>
      </c>
      <c r="H238" s="57" t="e">
        <f>((Tablo1[[#This Row],[Esans Fiyat]]/#REF!*Tablo1[[#This Row],[Esans]]*100)+(#REF!/1000*Tablo1[[#This Row],[Su]]*100)+(#REF!/1000*Tablo1[[#This Row],[Alkol]]*100))*(#REF!/100)+#REF!</f>
        <v>#REF!</v>
      </c>
      <c r="I238" s="33" t="s">
        <v>776</v>
      </c>
      <c r="J238" s="51" t="e">
        <f>#REF!*Tablo1[[#This Row],[Esans]]</f>
        <v>#REF!</v>
      </c>
      <c r="K238" s="51" t="e">
        <f>#REF!*Tablo1[[#This Row],[Su]]</f>
        <v>#REF!</v>
      </c>
      <c r="L238" s="51" t="e">
        <f>#REF!*Tablo1[[#This Row],[Alkol]]</f>
        <v>#REF!</v>
      </c>
      <c r="M238" s="44"/>
      <c r="N238" s="51">
        <f>(Tablo1[[#This Row],[KALAN ESANS]]/Tablo1[[#This Row],[Esans]]*0.01)*(Tablo1[[#This Row],[Alkol]]*100)</f>
        <v>0</v>
      </c>
      <c r="O238" s="51">
        <f>(Tablo1[[#This Row],[KALAN ESANS]]/Tablo1[[#This Row],[Esans]]*0.01)*(Tablo1[[#This Row],[Su]]*100)</f>
        <v>0</v>
      </c>
      <c r="P238" s="51">
        <f>Tablo1[[#This Row],[KALAN ESANS]]+Tablo1[[#This Row],[ALKOL Mik]]+Tablo1[[#This Row],[SU Mik]]</f>
        <v>0</v>
      </c>
    </row>
    <row r="239" spans="1:16" ht="15" customHeight="1" x14ac:dyDescent="0.2">
      <c r="A239" s="30" t="s">
        <v>31</v>
      </c>
      <c r="B239" s="36"/>
      <c r="C239" s="31">
        <v>0.17</v>
      </c>
      <c r="D239" s="31">
        <v>0.02</v>
      </c>
      <c r="E239" s="32">
        <f t="shared" si="3"/>
        <v>0.80999999999999994</v>
      </c>
      <c r="F239" s="33" t="s">
        <v>28</v>
      </c>
      <c r="G239" s="34" t="s">
        <v>768</v>
      </c>
      <c r="H239" s="57" t="e">
        <f>((Tablo1[[#This Row],[Esans Fiyat]]/#REF!*Tablo1[[#This Row],[Esans]]*100)+(#REF!/1000*Tablo1[[#This Row],[Su]]*100)+(#REF!/1000*Tablo1[[#This Row],[Alkol]]*100))*(#REF!/100)+#REF!</f>
        <v>#REF!</v>
      </c>
      <c r="I239" s="33" t="s">
        <v>772</v>
      </c>
      <c r="J239" s="51" t="e">
        <f>#REF!*Tablo1[[#This Row],[Esans]]</f>
        <v>#REF!</v>
      </c>
      <c r="K239" s="51" t="e">
        <f>#REF!*Tablo1[[#This Row],[Su]]</f>
        <v>#REF!</v>
      </c>
      <c r="L239" s="51" t="e">
        <f>#REF!*Tablo1[[#This Row],[Alkol]]</f>
        <v>#REF!</v>
      </c>
      <c r="M239" s="44"/>
      <c r="N239" s="51">
        <f>(Tablo1[[#This Row],[KALAN ESANS]]/Tablo1[[#This Row],[Esans]]*0.01)*(Tablo1[[#This Row],[Alkol]]*100)</f>
        <v>0</v>
      </c>
      <c r="O239" s="51">
        <f>(Tablo1[[#This Row],[KALAN ESANS]]/Tablo1[[#This Row],[Esans]]*0.01)*(Tablo1[[#This Row],[Su]]*100)</f>
        <v>0</v>
      </c>
      <c r="P239" s="51">
        <f>Tablo1[[#This Row],[KALAN ESANS]]+Tablo1[[#This Row],[ALKOL Mik]]+Tablo1[[#This Row],[SU Mik]]</f>
        <v>0</v>
      </c>
    </row>
    <row r="240" spans="1:16" ht="15" customHeight="1" x14ac:dyDescent="0.2">
      <c r="A240" s="30" t="s">
        <v>36</v>
      </c>
      <c r="B240" s="36"/>
      <c r="C240" s="31">
        <v>0.1</v>
      </c>
      <c r="D240" s="31">
        <v>0</v>
      </c>
      <c r="E240" s="32">
        <f t="shared" si="3"/>
        <v>0.9</v>
      </c>
      <c r="F240" s="33" t="s">
        <v>28</v>
      </c>
      <c r="G240" s="34" t="s">
        <v>768</v>
      </c>
      <c r="H240" s="57" t="e">
        <f>((Tablo1[[#This Row],[Esans Fiyat]]/#REF!*Tablo1[[#This Row],[Esans]]*100)+(#REF!/1000*Tablo1[[#This Row],[Su]]*100)+(#REF!/1000*Tablo1[[#This Row],[Alkol]]*100))*(#REF!/100)+#REF!</f>
        <v>#REF!</v>
      </c>
      <c r="I240" s="33" t="s">
        <v>772</v>
      </c>
      <c r="J240" s="51" t="e">
        <f>#REF!*Tablo1[[#This Row],[Esans]]</f>
        <v>#REF!</v>
      </c>
      <c r="K240" s="51" t="e">
        <f>#REF!*Tablo1[[#This Row],[Su]]</f>
        <v>#REF!</v>
      </c>
      <c r="L240" s="51" t="e">
        <f>#REF!*Tablo1[[#This Row],[Alkol]]</f>
        <v>#REF!</v>
      </c>
      <c r="M240" s="44"/>
      <c r="N240" s="51">
        <f>(Tablo1[[#This Row],[KALAN ESANS]]/Tablo1[[#This Row],[Esans]]*0.01)*(Tablo1[[#This Row],[Alkol]]*100)</f>
        <v>0</v>
      </c>
      <c r="O240" s="51">
        <f>(Tablo1[[#This Row],[KALAN ESANS]]/Tablo1[[#This Row],[Esans]]*0.01)*(Tablo1[[#This Row],[Su]]*100)</f>
        <v>0</v>
      </c>
      <c r="P240" s="51">
        <f>Tablo1[[#This Row],[KALAN ESANS]]+Tablo1[[#This Row],[ALKOL Mik]]+Tablo1[[#This Row],[SU Mik]]</f>
        <v>0</v>
      </c>
    </row>
    <row r="241" spans="1:16" ht="15" customHeight="1" x14ac:dyDescent="0.2">
      <c r="A241" s="30" t="s">
        <v>32</v>
      </c>
      <c r="B241" s="36"/>
      <c r="C241" s="31">
        <v>0.13</v>
      </c>
      <c r="D241" s="31">
        <v>0.02</v>
      </c>
      <c r="E241" s="32">
        <f t="shared" si="3"/>
        <v>0.85</v>
      </c>
      <c r="F241" s="33" t="s">
        <v>28</v>
      </c>
      <c r="G241" s="34" t="s">
        <v>768</v>
      </c>
      <c r="H241" s="57" t="e">
        <f>((Tablo1[[#This Row],[Esans Fiyat]]/#REF!*Tablo1[[#This Row],[Esans]]*100)+(#REF!/1000*Tablo1[[#This Row],[Su]]*100)+(#REF!/1000*Tablo1[[#This Row],[Alkol]]*100))*(#REF!/100)+#REF!</f>
        <v>#REF!</v>
      </c>
      <c r="I241" s="33" t="s">
        <v>772</v>
      </c>
      <c r="J241" s="51" t="e">
        <f>#REF!*Tablo1[[#This Row],[Esans]]</f>
        <v>#REF!</v>
      </c>
      <c r="K241" s="51" t="e">
        <f>#REF!*Tablo1[[#This Row],[Su]]</f>
        <v>#REF!</v>
      </c>
      <c r="L241" s="51" t="e">
        <f>#REF!*Tablo1[[#This Row],[Alkol]]</f>
        <v>#REF!</v>
      </c>
      <c r="M241" s="44"/>
      <c r="N241" s="51">
        <f>(Tablo1[[#This Row],[KALAN ESANS]]/Tablo1[[#This Row],[Esans]]*0.01)*(Tablo1[[#This Row],[Alkol]]*100)</f>
        <v>0</v>
      </c>
      <c r="O241" s="51">
        <f>(Tablo1[[#This Row],[KALAN ESANS]]/Tablo1[[#This Row],[Esans]]*0.01)*(Tablo1[[#This Row],[Su]]*100)</f>
        <v>0</v>
      </c>
      <c r="P241" s="51">
        <f>Tablo1[[#This Row],[KALAN ESANS]]+Tablo1[[#This Row],[ALKOL Mik]]+Tablo1[[#This Row],[SU Mik]]</f>
        <v>0</v>
      </c>
    </row>
    <row r="242" spans="1:16" ht="15" customHeight="1" x14ac:dyDescent="0.2">
      <c r="A242" s="30" t="s">
        <v>35</v>
      </c>
      <c r="B242" s="36"/>
      <c r="C242" s="31">
        <v>0.15</v>
      </c>
      <c r="D242" s="31">
        <v>0.02</v>
      </c>
      <c r="E242" s="32">
        <f t="shared" si="3"/>
        <v>0.83</v>
      </c>
      <c r="F242" s="33" t="s">
        <v>28</v>
      </c>
      <c r="G242" s="34" t="s">
        <v>768</v>
      </c>
      <c r="H242" s="57" t="e">
        <f>((Tablo1[[#This Row],[Esans Fiyat]]/#REF!*Tablo1[[#This Row],[Esans]]*100)+(#REF!/1000*Tablo1[[#This Row],[Su]]*100)+(#REF!/1000*Tablo1[[#This Row],[Alkol]]*100))*(#REF!/100)+#REF!</f>
        <v>#REF!</v>
      </c>
      <c r="I242" s="33" t="s">
        <v>772</v>
      </c>
      <c r="J242" s="51" t="e">
        <f>#REF!*Tablo1[[#This Row],[Esans]]</f>
        <v>#REF!</v>
      </c>
      <c r="K242" s="51" t="e">
        <f>#REF!*Tablo1[[#This Row],[Su]]</f>
        <v>#REF!</v>
      </c>
      <c r="L242" s="51" t="e">
        <f>#REF!*Tablo1[[#This Row],[Alkol]]</f>
        <v>#REF!</v>
      </c>
      <c r="M242" s="44"/>
      <c r="N242" s="51">
        <f>(Tablo1[[#This Row],[KALAN ESANS]]/Tablo1[[#This Row],[Esans]]*0.01)*(Tablo1[[#This Row],[Alkol]]*100)</f>
        <v>0</v>
      </c>
      <c r="O242" s="51">
        <f>(Tablo1[[#This Row],[KALAN ESANS]]/Tablo1[[#This Row],[Esans]]*0.01)*(Tablo1[[#This Row],[Su]]*100)</f>
        <v>0</v>
      </c>
      <c r="P242" s="51">
        <f>Tablo1[[#This Row],[KALAN ESANS]]+Tablo1[[#This Row],[ALKOL Mik]]+Tablo1[[#This Row],[SU Mik]]</f>
        <v>0</v>
      </c>
    </row>
    <row r="243" spans="1:16" ht="15" customHeight="1" x14ac:dyDescent="0.2">
      <c r="A243" s="30" t="s">
        <v>33</v>
      </c>
      <c r="B243" s="36"/>
      <c r="C243" s="31">
        <v>0.2</v>
      </c>
      <c r="D243" s="31">
        <v>0</v>
      </c>
      <c r="E243" s="32">
        <f t="shared" si="3"/>
        <v>0.8</v>
      </c>
      <c r="F243" s="33" t="s">
        <v>25</v>
      </c>
      <c r="G243" s="34" t="s">
        <v>768</v>
      </c>
      <c r="H243" s="57" t="e">
        <f>((Tablo1[[#This Row],[Esans Fiyat]]/#REF!*Tablo1[[#This Row],[Esans]]*100)+(#REF!/1000*Tablo1[[#This Row],[Su]]*100)+(#REF!/1000*Tablo1[[#This Row],[Alkol]]*100))*(#REF!/100)+#REF!</f>
        <v>#REF!</v>
      </c>
      <c r="I243" s="33" t="s">
        <v>772</v>
      </c>
      <c r="J243" s="51" t="e">
        <f>#REF!*Tablo1[[#This Row],[Esans]]</f>
        <v>#REF!</v>
      </c>
      <c r="K243" s="51" t="e">
        <f>#REF!*Tablo1[[#This Row],[Su]]</f>
        <v>#REF!</v>
      </c>
      <c r="L243" s="51" t="e">
        <f>#REF!*Tablo1[[#This Row],[Alkol]]</f>
        <v>#REF!</v>
      </c>
      <c r="M243" s="44"/>
      <c r="N243" s="51">
        <f>(Tablo1[[#This Row],[KALAN ESANS]]/Tablo1[[#This Row],[Esans]]*0.01)*(Tablo1[[#This Row],[Alkol]]*100)</f>
        <v>0</v>
      </c>
      <c r="O243" s="51">
        <f>(Tablo1[[#This Row],[KALAN ESANS]]/Tablo1[[#This Row],[Esans]]*0.01)*(Tablo1[[#This Row],[Su]]*100)</f>
        <v>0</v>
      </c>
      <c r="P243" s="51">
        <f>Tablo1[[#This Row],[KALAN ESANS]]+Tablo1[[#This Row],[ALKOL Mik]]+Tablo1[[#This Row],[SU Mik]]</f>
        <v>0</v>
      </c>
    </row>
    <row r="244" spans="1:16" ht="15" customHeight="1" x14ac:dyDescent="0.2">
      <c r="A244" s="30" t="s">
        <v>34</v>
      </c>
      <c r="B244" s="36"/>
      <c r="C244" s="31">
        <v>0.2</v>
      </c>
      <c r="D244" s="31">
        <v>0.02</v>
      </c>
      <c r="E244" s="32">
        <f t="shared" si="3"/>
        <v>0.78</v>
      </c>
      <c r="F244" s="33" t="s">
        <v>25</v>
      </c>
      <c r="G244" s="34" t="s">
        <v>768</v>
      </c>
      <c r="H244" s="57" t="e">
        <f>((Tablo1[[#This Row],[Esans Fiyat]]/#REF!*Tablo1[[#This Row],[Esans]]*100)+(#REF!/1000*Tablo1[[#This Row],[Su]]*100)+(#REF!/1000*Tablo1[[#This Row],[Alkol]]*100))*(#REF!/100)+#REF!</f>
        <v>#REF!</v>
      </c>
      <c r="I244" s="33" t="s">
        <v>776</v>
      </c>
      <c r="J244" s="51" t="e">
        <f>#REF!*Tablo1[[#This Row],[Esans]]</f>
        <v>#REF!</v>
      </c>
      <c r="K244" s="51" t="e">
        <f>#REF!*Tablo1[[#This Row],[Su]]</f>
        <v>#REF!</v>
      </c>
      <c r="L244" s="51" t="e">
        <f>#REF!*Tablo1[[#This Row],[Alkol]]</f>
        <v>#REF!</v>
      </c>
      <c r="M244" s="44"/>
      <c r="N244" s="51">
        <f>(Tablo1[[#This Row],[KALAN ESANS]]/Tablo1[[#This Row],[Esans]]*0.01)*(Tablo1[[#This Row],[Alkol]]*100)</f>
        <v>0</v>
      </c>
      <c r="O244" s="51">
        <f>(Tablo1[[#This Row],[KALAN ESANS]]/Tablo1[[#This Row],[Esans]]*0.01)*(Tablo1[[#This Row],[Su]]*100)</f>
        <v>0</v>
      </c>
      <c r="P244" s="51">
        <f>Tablo1[[#This Row],[KALAN ESANS]]+Tablo1[[#This Row],[ALKOL Mik]]+Tablo1[[#This Row],[SU Mik]]</f>
        <v>0</v>
      </c>
    </row>
    <row r="245" spans="1:16" ht="15" customHeight="1" x14ac:dyDescent="0.2">
      <c r="A245" s="30" t="s">
        <v>30</v>
      </c>
      <c r="B245" s="36"/>
      <c r="C245" s="31">
        <v>0.15</v>
      </c>
      <c r="D245" s="31">
        <v>0.02</v>
      </c>
      <c r="E245" s="32">
        <f t="shared" si="3"/>
        <v>0.83</v>
      </c>
      <c r="F245" s="33" t="s">
        <v>28</v>
      </c>
      <c r="G245" s="34" t="s">
        <v>768</v>
      </c>
      <c r="H245" s="57" t="e">
        <f>((Tablo1[[#This Row],[Esans Fiyat]]/#REF!*Tablo1[[#This Row],[Esans]]*100)+(#REF!/1000*Tablo1[[#This Row],[Su]]*100)+(#REF!/1000*Tablo1[[#This Row],[Alkol]]*100))*(#REF!/100)+#REF!</f>
        <v>#REF!</v>
      </c>
      <c r="I245" s="33" t="s">
        <v>772</v>
      </c>
      <c r="J245" s="51" t="e">
        <f>#REF!*Tablo1[[#This Row],[Esans]]</f>
        <v>#REF!</v>
      </c>
      <c r="K245" s="51" t="e">
        <f>#REF!*Tablo1[[#This Row],[Su]]</f>
        <v>#REF!</v>
      </c>
      <c r="L245" s="51" t="e">
        <f>#REF!*Tablo1[[#This Row],[Alkol]]</f>
        <v>#REF!</v>
      </c>
      <c r="M245" s="44"/>
      <c r="N245" s="51">
        <f>(Tablo1[[#This Row],[KALAN ESANS]]/Tablo1[[#This Row],[Esans]]*0.01)*(Tablo1[[#This Row],[Alkol]]*100)</f>
        <v>0</v>
      </c>
      <c r="O245" s="51">
        <f>(Tablo1[[#This Row],[KALAN ESANS]]/Tablo1[[#This Row],[Esans]]*0.01)*(Tablo1[[#This Row],[Su]]*100)</f>
        <v>0</v>
      </c>
      <c r="P245" s="51">
        <f>Tablo1[[#This Row],[KALAN ESANS]]+Tablo1[[#This Row],[ALKOL Mik]]+Tablo1[[#This Row],[SU Mik]]</f>
        <v>0</v>
      </c>
    </row>
    <row r="246" spans="1:16" ht="15" customHeight="1" x14ac:dyDescent="0.2">
      <c r="A246" s="30" t="s">
        <v>29</v>
      </c>
      <c r="B246" s="36"/>
      <c r="C246" s="31">
        <v>0.13</v>
      </c>
      <c r="D246" s="31">
        <v>0.02</v>
      </c>
      <c r="E246" s="32">
        <f t="shared" si="3"/>
        <v>0.85</v>
      </c>
      <c r="F246" s="33" t="s">
        <v>28</v>
      </c>
      <c r="G246" s="34" t="s">
        <v>768</v>
      </c>
      <c r="H246" s="57" t="e">
        <f>((Tablo1[[#This Row],[Esans Fiyat]]/#REF!*Tablo1[[#This Row],[Esans]]*100)+(#REF!/1000*Tablo1[[#This Row],[Su]]*100)+(#REF!/1000*Tablo1[[#This Row],[Alkol]]*100))*(#REF!/100)+#REF!</f>
        <v>#REF!</v>
      </c>
      <c r="I246" s="33" t="s">
        <v>772</v>
      </c>
      <c r="J246" s="51" t="e">
        <f>#REF!*Tablo1[[#This Row],[Esans]]</f>
        <v>#REF!</v>
      </c>
      <c r="K246" s="51" t="e">
        <f>#REF!*Tablo1[[#This Row],[Su]]</f>
        <v>#REF!</v>
      </c>
      <c r="L246" s="51" t="e">
        <f>#REF!*Tablo1[[#This Row],[Alkol]]</f>
        <v>#REF!</v>
      </c>
      <c r="M246" s="44"/>
      <c r="N246" s="51">
        <f>(Tablo1[[#This Row],[KALAN ESANS]]/Tablo1[[#This Row],[Esans]]*0.01)*(Tablo1[[#This Row],[Alkol]]*100)</f>
        <v>0</v>
      </c>
      <c r="O246" s="51">
        <f>(Tablo1[[#This Row],[KALAN ESANS]]/Tablo1[[#This Row],[Esans]]*0.01)*(Tablo1[[#This Row],[Su]]*100)</f>
        <v>0</v>
      </c>
      <c r="P246" s="51">
        <f>Tablo1[[#This Row],[KALAN ESANS]]+Tablo1[[#This Row],[ALKOL Mik]]+Tablo1[[#This Row],[SU Mik]]</f>
        <v>0</v>
      </c>
    </row>
    <row r="247" spans="1:16" ht="15" customHeight="1" x14ac:dyDescent="0.2">
      <c r="A247" s="30" t="s">
        <v>37</v>
      </c>
      <c r="B247" s="36"/>
      <c r="C247" s="31">
        <v>0.15</v>
      </c>
      <c r="D247" s="31">
        <v>0.02</v>
      </c>
      <c r="E247" s="32">
        <f t="shared" si="3"/>
        <v>0.83</v>
      </c>
      <c r="F247" s="33" t="s">
        <v>25</v>
      </c>
      <c r="G247" s="34" t="s">
        <v>768</v>
      </c>
      <c r="H247" s="57" t="e">
        <f>((Tablo1[[#This Row],[Esans Fiyat]]/#REF!*Tablo1[[#This Row],[Esans]]*100)+(#REF!/1000*Tablo1[[#This Row],[Su]]*100)+(#REF!/1000*Tablo1[[#This Row],[Alkol]]*100))*(#REF!/100)+#REF!</f>
        <v>#REF!</v>
      </c>
      <c r="I247" s="33" t="s">
        <v>772</v>
      </c>
      <c r="J247" s="51" t="e">
        <f>#REF!*Tablo1[[#This Row],[Esans]]</f>
        <v>#REF!</v>
      </c>
      <c r="K247" s="51" t="e">
        <f>#REF!*Tablo1[[#This Row],[Su]]</f>
        <v>#REF!</v>
      </c>
      <c r="L247" s="51" t="e">
        <f>#REF!*Tablo1[[#This Row],[Alkol]]</f>
        <v>#REF!</v>
      </c>
      <c r="M247" s="44"/>
      <c r="N247" s="51">
        <f>(Tablo1[[#This Row],[KALAN ESANS]]/Tablo1[[#This Row],[Esans]]*0.01)*(Tablo1[[#This Row],[Alkol]]*100)</f>
        <v>0</v>
      </c>
      <c r="O247" s="51">
        <f>(Tablo1[[#This Row],[KALAN ESANS]]/Tablo1[[#This Row],[Esans]]*0.01)*(Tablo1[[#This Row],[Su]]*100)</f>
        <v>0</v>
      </c>
      <c r="P247" s="51">
        <f>Tablo1[[#This Row],[KALAN ESANS]]+Tablo1[[#This Row],[ALKOL Mik]]+Tablo1[[#This Row],[SU Mik]]</f>
        <v>0</v>
      </c>
    </row>
    <row r="248" spans="1:16" ht="15" customHeight="1" x14ac:dyDescent="0.2">
      <c r="A248" s="30" t="s">
        <v>27</v>
      </c>
      <c r="B248" s="36"/>
      <c r="C248" s="31">
        <v>0.15</v>
      </c>
      <c r="D248" s="31">
        <v>0.02</v>
      </c>
      <c r="E248" s="32">
        <f t="shared" si="3"/>
        <v>0.83</v>
      </c>
      <c r="F248" s="33" t="s">
        <v>25</v>
      </c>
      <c r="G248" s="34" t="s">
        <v>768</v>
      </c>
      <c r="H248" s="57" t="e">
        <f>((Tablo1[[#This Row],[Esans Fiyat]]/#REF!*Tablo1[[#This Row],[Esans]]*100)+(#REF!/1000*Tablo1[[#This Row],[Su]]*100)+(#REF!/1000*Tablo1[[#This Row],[Alkol]]*100))*(#REF!/100)+#REF!</f>
        <v>#REF!</v>
      </c>
      <c r="I248" s="33" t="s">
        <v>772</v>
      </c>
      <c r="J248" s="51" t="e">
        <f>#REF!*Tablo1[[#This Row],[Esans]]</f>
        <v>#REF!</v>
      </c>
      <c r="K248" s="51" t="e">
        <f>#REF!*Tablo1[[#This Row],[Su]]</f>
        <v>#REF!</v>
      </c>
      <c r="L248" s="51" t="e">
        <f>#REF!*Tablo1[[#This Row],[Alkol]]</f>
        <v>#REF!</v>
      </c>
      <c r="M248" s="44"/>
      <c r="N248" s="51">
        <f>(Tablo1[[#This Row],[KALAN ESANS]]/Tablo1[[#This Row],[Esans]]*0.01)*(Tablo1[[#This Row],[Alkol]]*100)</f>
        <v>0</v>
      </c>
      <c r="O248" s="51">
        <f>(Tablo1[[#This Row],[KALAN ESANS]]/Tablo1[[#This Row],[Esans]]*0.01)*(Tablo1[[#This Row],[Su]]*100)</f>
        <v>0</v>
      </c>
      <c r="P248" s="51">
        <f>Tablo1[[#This Row],[KALAN ESANS]]+Tablo1[[#This Row],[ALKOL Mik]]+Tablo1[[#This Row],[SU Mik]]</f>
        <v>0</v>
      </c>
    </row>
    <row r="249" spans="1:16" ht="15" customHeight="1" x14ac:dyDescent="0.2">
      <c r="A249" s="30" t="s">
        <v>26</v>
      </c>
      <c r="B249" s="36"/>
      <c r="C249" s="31">
        <v>0.17</v>
      </c>
      <c r="D249" s="31">
        <v>0.02</v>
      </c>
      <c r="E249" s="32">
        <f t="shared" si="3"/>
        <v>0.80999999999999994</v>
      </c>
      <c r="F249" s="33" t="s">
        <v>25</v>
      </c>
      <c r="G249" s="34" t="s">
        <v>768</v>
      </c>
      <c r="H249" s="57" t="e">
        <f>((Tablo1[[#This Row],[Esans Fiyat]]/#REF!*Tablo1[[#This Row],[Esans]]*100)+(#REF!/1000*Tablo1[[#This Row],[Su]]*100)+(#REF!/1000*Tablo1[[#This Row],[Alkol]]*100))*(#REF!/100)+#REF!</f>
        <v>#REF!</v>
      </c>
      <c r="I249" s="33" t="s">
        <v>772</v>
      </c>
      <c r="J249" s="51" t="e">
        <f>#REF!*Tablo1[[#This Row],[Esans]]</f>
        <v>#REF!</v>
      </c>
      <c r="K249" s="51" t="e">
        <f>#REF!*Tablo1[[#This Row],[Su]]</f>
        <v>#REF!</v>
      </c>
      <c r="L249" s="51" t="e">
        <f>#REF!*Tablo1[[#This Row],[Alkol]]</f>
        <v>#REF!</v>
      </c>
      <c r="M249" s="44"/>
      <c r="N249" s="51">
        <f>(Tablo1[[#This Row],[KALAN ESANS]]/Tablo1[[#This Row],[Esans]]*0.01)*(Tablo1[[#This Row],[Alkol]]*100)</f>
        <v>0</v>
      </c>
      <c r="O249" s="51">
        <f>(Tablo1[[#This Row],[KALAN ESANS]]/Tablo1[[#This Row],[Esans]]*0.01)*(Tablo1[[#This Row],[Su]]*100)</f>
        <v>0</v>
      </c>
      <c r="P249" s="51">
        <f>Tablo1[[#This Row],[KALAN ESANS]]+Tablo1[[#This Row],[ALKOL Mik]]+Tablo1[[#This Row],[SU Mik]]</f>
        <v>0</v>
      </c>
    </row>
    <row r="250" spans="1:16" ht="15" customHeight="1" x14ac:dyDescent="0.2">
      <c r="A250" s="19" t="s">
        <v>530</v>
      </c>
      <c r="B250" s="42"/>
      <c r="C250" s="2">
        <v>0.2</v>
      </c>
      <c r="D250" s="2">
        <v>0.02</v>
      </c>
      <c r="E250" s="8">
        <f t="shared" si="3"/>
        <v>0.78</v>
      </c>
      <c r="F250" s="5" t="s">
        <v>25</v>
      </c>
      <c r="G250" s="18" t="s">
        <v>769</v>
      </c>
      <c r="H250" s="58" t="e">
        <f>((Tablo1[[#This Row],[Esans Fiyat]]/#REF!*Tablo1[[#This Row],[Esans]]*100)+(#REF!/1000*Tablo1[[#This Row],[Su]]*100)+(#REF!/1000*Tablo1[[#This Row],[Alkol]]*100))*(#REF!/100)+#REF!</f>
        <v>#REF!</v>
      </c>
      <c r="I250" s="5" t="s">
        <v>776</v>
      </c>
      <c r="J250" s="52" t="e">
        <f>#REF!*Tablo1[[#This Row],[Esans]]</f>
        <v>#REF!</v>
      </c>
      <c r="K250" s="52" t="e">
        <f>#REF!*Tablo1[[#This Row],[Su]]</f>
        <v>#REF!</v>
      </c>
      <c r="L250" s="52" t="e">
        <f>#REF!*Tablo1[[#This Row],[Alkol]]</f>
        <v>#REF!</v>
      </c>
      <c r="M250" s="45"/>
      <c r="N250" s="52">
        <f>(Tablo1[[#This Row],[KALAN ESANS]]/Tablo1[[#This Row],[Esans]]*0.01)*(Tablo1[[#This Row],[Alkol]]*100)</f>
        <v>0</v>
      </c>
      <c r="O250" s="52">
        <f>(Tablo1[[#This Row],[KALAN ESANS]]/Tablo1[[#This Row],[Esans]]*0.01)*(Tablo1[[#This Row],[Su]]*100)</f>
        <v>0</v>
      </c>
      <c r="P250" s="52">
        <f>Tablo1[[#This Row],[KALAN ESANS]]+Tablo1[[#This Row],[ALKOL Mik]]+Tablo1[[#This Row],[SU Mik]]</f>
        <v>0</v>
      </c>
    </row>
    <row r="251" spans="1:16" ht="15" customHeight="1" x14ac:dyDescent="0.2">
      <c r="A251" s="19" t="s">
        <v>529</v>
      </c>
      <c r="B251" s="42"/>
      <c r="C251" s="2">
        <v>0.2</v>
      </c>
      <c r="D251" s="2">
        <v>0.02</v>
      </c>
      <c r="E251" s="8">
        <f t="shared" si="3"/>
        <v>0.78</v>
      </c>
      <c r="F251" s="5" t="s">
        <v>25</v>
      </c>
      <c r="G251" s="18" t="s">
        <v>769</v>
      </c>
      <c r="H251" s="58" t="e">
        <f>((Tablo1[[#This Row],[Esans Fiyat]]/#REF!*Tablo1[[#This Row],[Esans]]*100)+(#REF!/1000*Tablo1[[#This Row],[Su]]*100)+(#REF!/1000*Tablo1[[#This Row],[Alkol]]*100))*(#REF!/100)+#REF!</f>
        <v>#REF!</v>
      </c>
      <c r="I251" s="5" t="s">
        <v>776</v>
      </c>
      <c r="J251" s="52" t="e">
        <f>#REF!*Tablo1[[#This Row],[Esans]]</f>
        <v>#REF!</v>
      </c>
      <c r="K251" s="52" t="e">
        <f>#REF!*Tablo1[[#This Row],[Su]]</f>
        <v>#REF!</v>
      </c>
      <c r="L251" s="52" t="e">
        <f>#REF!*Tablo1[[#This Row],[Alkol]]</f>
        <v>#REF!</v>
      </c>
      <c r="M251" s="45"/>
      <c r="N251" s="52">
        <f>(Tablo1[[#This Row],[KALAN ESANS]]/Tablo1[[#This Row],[Esans]]*0.01)*(Tablo1[[#This Row],[Alkol]]*100)</f>
        <v>0</v>
      </c>
      <c r="O251" s="52">
        <f>(Tablo1[[#This Row],[KALAN ESANS]]/Tablo1[[#This Row],[Esans]]*0.01)*(Tablo1[[#This Row],[Su]]*100)</f>
        <v>0</v>
      </c>
      <c r="P251" s="52">
        <f>Tablo1[[#This Row],[KALAN ESANS]]+Tablo1[[#This Row],[ALKOL Mik]]+Tablo1[[#This Row],[SU Mik]]</f>
        <v>0</v>
      </c>
    </row>
    <row r="252" spans="1:16" ht="15" customHeight="1" x14ac:dyDescent="0.2">
      <c r="A252" s="19" t="s">
        <v>528</v>
      </c>
      <c r="B252" s="42"/>
      <c r="C252" s="2">
        <v>0.2</v>
      </c>
      <c r="D252" s="2">
        <v>0.02</v>
      </c>
      <c r="E252" s="8">
        <f t="shared" si="3"/>
        <v>0.78</v>
      </c>
      <c r="F252" s="5" t="s">
        <v>25</v>
      </c>
      <c r="G252" s="18" t="s">
        <v>769</v>
      </c>
      <c r="H252" s="58" t="e">
        <f>((Tablo1[[#This Row],[Esans Fiyat]]/#REF!*Tablo1[[#This Row],[Esans]]*100)+(#REF!/1000*Tablo1[[#This Row],[Su]]*100)+(#REF!/1000*Tablo1[[#This Row],[Alkol]]*100))*(#REF!/100)+#REF!</f>
        <v>#REF!</v>
      </c>
      <c r="I252" s="5" t="s">
        <v>772</v>
      </c>
      <c r="J252" s="52" t="e">
        <f>#REF!*Tablo1[[#This Row],[Esans]]</f>
        <v>#REF!</v>
      </c>
      <c r="K252" s="52" t="e">
        <f>#REF!*Tablo1[[#This Row],[Su]]</f>
        <v>#REF!</v>
      </c>
      <c r="L252" s="52" t="e">
        <f>#REF!*Tablo1[[#This Row],[Alkol]]</f>
        <v>#REF!</v>
      </c>
      <c r="M252" s="45"/>
      <c r="N252" s="52">
        <f>(Tablo1[[#This Row],[KALAN ESANS]]/Tablo1[[#This Row],[Esans]]*0.01)*(Tablo1[[#This Row],[Alkol]]*100)</f>
        <v>0</v>
      </c>
      <c r="O252" s="52">
        <f>(Tablo1[[#This Row],[KALAN ESANS]]/Tablo1[[#This Row],[Esans]]*0.01)*(Tablo1[[#This Row],[Su]]*100)</f>
        <v>0</v>
      </c>
      <c r="P252" s="52">
        <f>Tablo1[[#This Row],[KALAN ESANS]]+Tablo1[[#This Row],[ALKOL Mik]]+Tablo1[[#This Row],[SU Mik]]</f>
        <v>0</v>
      </c>
    </row>
    <row r="253" spans="1:16" ht="15" customHeight="1" x14ac:dyDescent="0.2">
      <c r="A253" s="19" t="s">
        <v>525</v>
      </c>
      <c r="B253" s="42"/>
      <c r="C253" s="2">
        <v>0.2</v>
      </c>
      <c r="D253" s="2">
        <v>0.02</v>
      </c>
      <c r="E253" s="8">
        <f t="shared" si="3"/>
        <v>0.78</v>
      </c>
      <c r="F253" s="5" t="s">
        <v>25</v>
      </c>
      <c r="G253" s="18" t="s">
        <v>769</v>
      </c>
      <c r="H253" s="58" t="e">
        <f>((Tablo1[[#This Row],[Esans Fiyat]]/#REF!*Tablo1[[#This Row],[Esans]]*100)+(#REF!/1000*Tablo1[[#This Row],[Su]]*100)+(#REF!/1000*Tablo1[[#This Row],[Alkol]]*100))*(#REF!/100)+#REF!</f>
        <v>#REF!</v>
      </c>
      <c r="I253" s="5" t="s">
        <v>776</v>
      </c>
      <c r="J253" s="52" t="e">
        <f>#REF!*Tablo1[[#This Row],[Esans]]</f>
        <v>#REF!</v>
      </c>
      <c r="K253" s="52" t="e">
        <f>#REF!*Tablo1[[#This Row],[Su]]</f>
        <v>#REF!</v>
      </c>
      <c r="L253" s="52" t="e">
        <f>#REF!*Tablo1[[#This Row],[Alkol]]</f>
        <v>#REF!</v>
      </c>
      <c r="M253" s="45"/>
      <c r="N253" s="52">
        <f>(Tablo1[[#This Row],[KALAN ESANS]]/Tablo1[[#This Row],[Esans]]*0.01)*(Tablo1[[#This Row],[Alkol]]*100)</f>
        <v>0</v>
      </c>
      <c r="O253" s="52">
        <f>(Tablo1[[#This Row],[KALAN ESANS]]/Tablo1[[#This Row],[Esans]]*0.01)*(Tablo1[[#This Row],[Su]]*100)</f>
        <v>0</v>
      </c>
      <c r="P253" s="52">
        <f>Tablo1[[#This Row],[KALAN ESANS]]+Tablo1[[#This Row],[ALKOL Mik]]+Tablo1[[#This Row],[SU Mik]]</f>
        <v>0</v>
      </c>
    </row>
    <row r="254" spans="1:16" ht="15" customHeight="1" x14ac:dyDescent="0.2">
      <c r="A254" s="19" t="s">
        <v>526</v>
      </c>
      <c r="B254" s="42"/>
      <c r="C254" s="2">
        <v>0.2</v>
      </c>
      <c r="D254" s="2">
        <v>0.02</v>
      </c>
      <c r="E254" s="8">
        <f t="shared" si="3"/>
        <v>0.78</v>
      </c>
      <c r="F254" s="5" t="s">
        <v>25</v>
      </c>
      <c r="G254" s="18" t="s">
        <v>769</v>
      </c>
      <c r="H254" s="58" t="e">
        <f>((Tablo1[[#This Row],[Esans Fiyat]]/#REF!*Tablo1[[#This Row],[Esans]]*100)+(#REF!/1000*Tablo1[[#This Row],[Su]]*100)+(#REF!/1000*Tablo1[[#This Row],[Alkol]]*100))*(#REF!/100)+#REF!</f>
        <v>#REF!</v>
      </c>
      <c r="I254" s="5" t="s">
        <v>778</v>
      </c>
      <c r="J254" s="52" t="e">
        <f>#REF!*Tablo1[[#This Row],[Esans]]</f>
        <v>#REF!</v>
      </c>
      <c r="K254" s="52" t="e">
        <f>#REF!*Tablo1[[#This Row],[Su]]</f>
        <v>#REF!</v>
      </c>
      <c r="L254" s="52" t="e">
        <f>#REF!*Tablo1[[#This Row],[Alkol]]</f>
        <v>#REF!</v>
      </c>
      <c r="M254" s="45"/>
      <c r="N254" s="52">
        <f>(Tablo1[[#This Row],[KALAN ESANS]]/Tablo1[[#This Row],[Esans]]*0.01)*(Tablo1[[#This Row],[Alkol]]*100)</f>
        <v>0</v>
      </c>
      <c r="O254" s="52">
        <f>(Tablo1[[#This Row],[KALAN ESANS]]/Tablo1[[#This Row],[Esans]]*0.01)*(Tablo1[[#This Row],[Su]]*100)</f>
        <v>0</v>
      </c>
      <c r="P254" s="52">
        <f>Tablo1[[#This Row],[KALAN ESANS]]+Tablo1[[#This Row],[ALKOL Mik]]+Tablo1[[#This Row],[SU Mik]]</f>
        <v>0</v>
      </c>
    </row>
    <row r="255" spans="1:16" ht="15" customHeight="1" x14ac:dyDescent="0.2">
      <c r="A255" s="19" t="s">
        <v>527</v>
      </c>
      <c r="B255" s="42"/>
      <c r="C255" s="2">
        <v>0.2</v>
      </c>
      <c r="D255" s="2">
        <v>0</v>
      </c>
      <c r="E255" s="8">
        <f t="shared" si="3"/>
        <v>0.8</v>
      </c>
      <c r="F255" s="5" t="s">
        <v>25</v>
      </c>
      <c r="G255" s="18" t="s">
        <v>769</v>
      </c>
      <c r="H255" s="58" t="e">
        <f>((Tablo1[[#This Row],[Esans Fiyat]]/#REF!*Tablo1[[#This Row],[Esans]]*100)+(#REF!/1000*Tablo1[[#This Row],[Su]]*100)+(#REF!/1000*Tablo1[[#This Row],[Alkol]]*100))*(#REF!/100)+#REF!</f>
        <v>#REF!</v>
      </c>
      <c r="I255" s="5" t="s">
        <v>778</v>
      </c>
      <c r="J255" s="52" t="e">
        <f>#REF!*Tablo1[[#This Row],[Esans]]</f>
        <v>#REF!</v>
      </c>
      <c r="K255" s="52" t="e">
        <f>#REF!*Tablo1[[#This Row],[Su]]</f>
        <v>#REF!</v>
      </c>
      <c r="L255" s="52" t="e">
        <f>#REF!*Tablo1[[#This Row],[Alkol]]</f>
        <v>#REF!</v>
      </c>
      <c r="M255" s="45"/>
      <c r="N255" s="52">
        <f>(Tablo1[[#This Row],[KALAN ESANS]]/Tablo1[[#This Row],[Esans]]*0.01)*(Tablo1[[#This Row],[Alkol]]*100)</f>
        <v>0</v>
      </c>
      <c r="O255" s="52">
        <f>(Tablo1[[#This Row],[KALAN ESANS]]/Tablo1[[#This Row],[Esans]]*0.01)*(Tablo1[[#This Row],[Su]]*100)</f>
        <v>0</v>
      </c>
      <c r="P255" s="52">
        <f>Tablo1[[#This Row],[KALAN ESANS]]+Tablo1[[#This Row],[ALKOL Mik]]+Tablo1[[#This Row],[SU Mik]]</f>
        <v>0</v>
      </c>
    </row>
    <row r="256" spans="1:16" ht="15" customHeight="1" x14ac:dyDescent="0.2">
      <c r="A256" s="19" t="s">
        <v>524</v>
      </c>
      <c r="B256" s="42"/>
      <c r="C256" s="2">
        <v>0.2</v>
      </c>
      <c r="D256" s="2">
        <v>0.02</v>
      </c>
      <c r="E256" s="8">
        <f t="shared" si="3"/>
        <v>0.78</v>
      </c>
      <c r="F256" s="5" t="s">
        <v>25</v>
      </c>
      <c r="G256" s="18" t="s">
        <v>769</v>
      </c>
      <c r="H256" s="58" t="e">
        <f>((Tablo1[[#This Row],[Esans Fiyat]]/#REF!*Tablo1[[#This Row],[Esans]]*100)+(#REF!/1000*Tablo1[[#This Row],[Su]]*100)+(#REF!/1000*Tablo1[[#This Row],[Alkol]]*100))*(#REF!/100)+#REF!</f>
        <v>#REF!</v>
      </c>
      <c r="I256" s="5" t="s">
        <v>776</v>
      </c>
      <c r="J256" s="52" t="e">
        <f>#REF!*Tablo1[[#This Row],[Esans]]</f>
        <v>#REF!</v>
      </c>
      <c r="K256" s="52" t="e">
        <f>#REF!*Tablo1[[#This Row],[Su]]</f>
        <v>#REF!</v>
      </c>
      <c r="L256" s="52" t="e">
        <f>#REF!*Tablo1[[#This Row],[Alkol]]</f>
        <v>#REF!</v>
      </c>
      <c r="M256" s="45"/>
      <c r="N256" s="52">
        <f>(Tablo1[[#This Row],[KALAN ESANS]]/Tablo1[[#This Row],[Esans]]*0.01)*(Tablo1[[#This Row],[Alkol]]*100)</f>
        <v>0</v>
      </c>
      <c r="O256" s="52">
        <f>(Tablo1[[#This Row],[KALAN ESANS]]/Tablo1[[#This Row],[Esans]]*0.01)*(Tablo1[[#This Row],[Su]]*100)</f>
        <v>0</v>
      </c>
      <c r="P256" s="52">
        <f>Tablo1[[#This Row],[KALAN ESANS]]+Tablo1[[#This Row],[ALKOL Mik]]+Tablo1[[#This Row],[SU Mik]]</f>
        <v>0</v>
      </c>
    </row>
    <row r="257" spans="1:16" ht="15" customHeight="1" x14ac:dyDescent="0.2">
      <c r="A257" s="19" t="s">
        <v>522</v>
      </c>
      <c r="B257" s="42"/>
      <c r="C257" s="2">
        <v>0.2</v>
      </c>
      <c r="D257" s="2">
        <v>0.02</v>
      </c>
      <c r="E257" s="8">
        <f t="shared" si="3"/>
        <v>0.78</v>
      </c>
      <c r="F257" s="5" t="s">
        <v>25</v>
      </c>
      <c r="G257" s="18" t="s">
        <v>769</v>
      </c>
      <c r="H257" s="58" t="e">
        <f>((Tablo1[[#This Row],[Esans Fiyat]]/#REF!*Tablo1[[#This Row],[Esans]]*100)+(#REF!/1000*Tablo1[[#This Row],[Su]]*100)+(#REF!/1000*Tablo1[[#This Row],[Alkol]]*100))*(#REF!/100)+#REF!</f>
        <v>#REF!</v>
      </c>
      <c r="I257" s="5" t="s">
        <v>776</v>
      </c>
      <c r="J257" s="52" t="e">
        <f>#REF!*Tablo1[[#This Row],[Esans]]</f>
        <v>#REF!</v>
      </c>
      <c r="K257" s="52" t="e">
        <f>#REF!*Tablo1[[#This Row],[Su]]</f>
        <v>#REF!</v>
      </c>
      <c r="L257" s="52" t="e">
        <f>#REF!*Tablo1[[#This Row],[Alkol]]</f>
        <v>#REF!</v>
      </c>
      <c r="M257" s="45"/>
      <c r="N257" s="52">
        <f>(Tablo1[[#This Row],[KALAN ESANS]]/Tablo1[[#This Row],[Esans]]*0.01)*(Tablo1[[#This Row],[Alkol]]*100)</f>
        <v>0</v>
      </c>
      <c r="O257" s="52">
        <f>(Tablo1[[#This Row],[KALAN ESANS]]/Tablo1[[#This Row],[Esans]]*0.01)*(Tablo1[[#This Row],[Su]]*100)</f>
        <v>0</v>
      </c>
      <c r="P257" s="52">
        <f>Tablo1[[#This Row],[KALAN ESANS]]+Tablo1[[#This Row],[ALKOL Mik]]+Tablo1[[#This Row],[SU Mik]]</f>
        <v>0</v>
      </c>
    </row>
    <row r="258" spans="1:16" ht="15" customHeight="1" x14ac:dyDescent="0.2">
      <c r="A258" s="19" t="s">
        <v>521</v>
      </c>
      <c r="B258" s="42"/>
      <c r="C258" s="2">
        <v>0.2</v>
      </c>
      <c r="D258" s="2">
        <v>0</v>
      </c>
      <c r="E258" s="8">
        <f t="shared" si="3"/>
        <v>0.8</v>
      </c>
      <c r="F258" s="5" t="s">
        <v>25</v>
      </c>
      <c r="G258" s="18" t="s">
        <v>769</v>
      </c>
      <c r="H258" s="58" t="e">
        <f>((Tablo1[[#This Row],[Esans Fiyat]]/#REF!*Tablo1[[#This Row],[Esans]]*100)+(#REF!/1000*Tablo1[[#This Row],[Su]]*100)+(#REF!/1000*Tablo1[[#This Row],[Alkol]]*100))*(#REF!/100)+#REF!</f>
        <v>#REF!</v>
      </c>
      <c r="I258" s="5" t="s">
        <v>776</v>
      </c>
      <c r="J258" s="52" t="e">
        <f>#REF!*Tablo1[[#This Row],[Esans]]</f>
        <v>#REF!</v>
      </c>
      <c r="K258" s="52" t="e">
        <f>#REF!*Tablo1[[#This Row],[Su]]</f>
        <v>#REF!</v>
      </c>
      <c r="L258" s="52" t="e">
        <f>#REF!*Tablo1[[#This Row],[Alkol]]</f>
        <v>#REF!</v>
      </c>
      <c r="M258" s="45"/>
      <c r="N258" s="52">
        <f>(Tablo1[[#This Row],[KALAN ESANS]]/Tablo1[[#This Row],[Esans]]*0.01)*(Tablo1[[#This Row],[Alkol]]*100)</f>
        <v>0</v>
      </c>
      <c r="O258" s="52">
        <f>(Tablo1[[#This Row],[KALAN ESANS]]/Tablo1[[#This Row],[Esans]]*0.01)*(Tablo1[[#This Row],[Su]]*100)</f>
        <v>0</v>
      </c>
      <c r="P258" s="52">
        <f>Tablo1[[#This Row],[KALAN ESANS]]+Tablo1[[#This Row],[ALKOL Mik]]+Tablo1[[#This Row],[SU Mik]]</f>
        <v>0</v>
      </c>
    </row>
    <row r="259" spans="1:16" ht="15" customHeight="1" x14ac:dyDescent="0.2">
      <c r="A259" s="19" t="s">
        <v>523</v>
      </c>
      <c r="B259" s="42"/>
      <c r="C259" s="2">
        <v>0.2</v>
      </c>
      <c r="D259" s="2">
        <v>0.02</v>
      </c>
      <c r="E259" s="8">
        <f t="shared" si="3"/>
        <v>0.78</v>
      </c>
      <c r="F259" s="5" t="s">
        <v>25</v>
      </c>
      <c r="G259" s="18" t="s">
        <v>769</v>
      </c>
      <c r="H259" s="58" t="e">
        <f>((Tablo1[[#This Row],[Esans Fiyat]]/#REF!*Tablo1[[#This Row],[Esans]]*100)+(#REF!/1000*Tablo1[[#This Row],[Su]]*100)+(#REF!/1000*Tablo1[[#This Row],[Alkol]]*100))*(#REF!/100)+#REF!</f>
        <v>#REF!</v>
      </c>
      <c r="I259" s="5" t="s">
        <v>776</v>
      </c>
      <c r="J259" s="52" t="e">
        <f>#REF!*Tablo1[[#This Row],[Esans]]</f>
        <v>#REF!</v>
      </c>
      <c r="K259" s="52" t="e">
        <f>#REF!*Tablo1[[#This Row],[Su]]</f>
        <v>#REF!</v>
      </c>
      <c r="L259" s="52" t="e">
        <f>#REF!*Tablo1[[#This Row],[Alkol]]</f>
        <v>#REF!</v>
      </c>
      <c r="M259" s="45"/>
      <c r="N259" s="52">
        <f>(Tablo1[[#This Row],[KALAN ESANS]]/Tablo1[[#This Row],[Esans]]*0.01)*(Tablo1[[#This Row],[Alkol]]*100)</f>
        <v>0</v>
      </c>
      <c r="O259" s="52">
        <f>(Tablo1[[#This Row],[KALAN ESANS]]/Tablo1[[#This Row],[Esans]]*0.01)*(Tablo1[[#This Row],[Su]]*100)</f>
        <v>0</v>
      </c>
      <c r="P259" s="52">
        <f>Tablo1[[#This Row],[KALAN ESANS]]+Tablo1[[#This Row],[ALKOL Mik]]+Tablo1[[#This Row],[SU Mik]]</f>
        <v>0</v>
      </c>
    </row>
    <row r="260" spans="1:16" ht="15" customHeight="1" x14ac:dyDescent="0.2">
      <c r="A260" s="19" t="s">
        <v>519</v>
      </c>
      <c r="B260" s="42"/>
      <c r="C260" s="2">
        <v>0.15</v>
      </c>
      <c r="D260" s="2">
        <v>0.02</v>
      </c>
      <c r="E260" s="8">
        <f t="shared" ref="E260:E323" si="4">1-D260-C260</f>
        <v>0.83</v>
      </c>
      <c r="F260" s="5" t="s">
        <v>28</v>
      </c>
      <c r="G260" s="18" t="s">
        <v>769</v>
      </c>
      <c r="H260" s="58" t="e">
        <f>((Tablo1[[#This Row],[Esans Fiyat]]/#REF!*Tablo1[[#This Row],[Esans]]*100)+(#REF!/1000*Tablo1[[#This Row],[Su]]*100)+(#REF!/1000*Tablo1[[#This Row],[Alkol]]*100))*(#REF!/100)+#REF!</f>
        <v>#REF!</v>
      </c>
      <c r="I260" s="5" t="s">
        <v>774</v>
      </c>
      <c r="J260" s="52" t="e">
        <f>#REF!*Tablo1[[#This Row],[Esans]]</f>
        <v>#REF!</v>
      </c>
      <c r="K260" s="52" t="e">
        <f>#REF!*Tablo1[[#This Row],[Su]]</f>
        <v>#REF!</v>
      </c>
      <c r="L260" s="52" t="e">
        <f>#REF!*Tablo1[[#This Row],[Alkol]]</f>
        <v>#REF!</v>
      </c>
      <c r="M260" s="45"/>
      <c r="N260" s="52">
        <f>(Tablo1[[#This Row],[KALAN ESANS]]/Tablo1[[#This Row],[Esans]]*0.01)*(Tablo1[[#This Row],[Alkol]]*100)</f>
        <v>0</v>
      </c>
      <c r="O260" s="52">
        <f>(Tablo1[[#This Row],[KALAN ESANS]]/Tablo1[[#This Row],[Esans]]*0.01)*(Tablo1[[#This Row],[Su]]*100)</f>
        <v>0</v>
      </c>
      <c r="P260" s="52">
        <f>Tablo1[[#This Row],[KALAN ESANS]]+Tablo1[[#This Row],[ALKOL Mik]]+Tablo1[[#This Row],[SU Mik]]</f>
        <v>0</v>
      </c>
    </row>
    <row r="261" spans="1:16" ht="15" customHeight="1" x14ac:dyDescent="0.2">
      <c r="A261" s="19" t="s">
        <v>518</v>
      </c>
      <c r="B261" s="42"/>
      <c r="C261" s="2">
        <v>0.2</v>
      </c>
      <c r="D261" s="2">
        <v>0.02</v>
      </c>
      <c r="E261" s="8">
        <f t="shared" si="4"/>
        <v>0.78</v>
      </c>
      <c r="F261" s="5" t="s">
        <v>25</v>
      </c>
      <c r="G261" s="18" t="s">
        <v>769</v>
      </c>
      <c r="H261" s="58" t="e">
        <f>((Tablo1[[#This Row],[Esans Fiyat]]/#REF!*Tablo1[[#This Row],[Esans]]*100)+(#REF!/1000*Tablo1[[#This Row],[Su]]*100)+(#REF!/1000*Tablo1[[#This Row],[Alkol]]*100))*(#REF!/100)+#REF!</f>
        <v>#REF!</v>
      </c>
      <c r="I261" s="5" t="s">
        <v>776</v>
      </c>
      <c r="J261" s="52" t="e">
        <f>#REF!*Tablo1[[#This Row],[Esans]]</f>
        <v>#REF!</v>
      </c>
      <c r="K261" s="52" t="e">
        <f>#REF!*Tablo1[[#This Row],[Su]]</f>
        <v>#REF!</v>
      </c>
      <c r="L261" s="52" t="e">
        <f>#REF!*Tablo1[[#This Row],[Alkol]]</f>
        <v>#REF!</v>
      </c>
      <c r="M261" s="45"/>
      <c r="N261" s="52">
        <f>(Tablo1[[#This Row],[KALAN ESANS]]/Tablo1[[#This Row],[Esans]]*0.01)*(Tablo1[[#This Row],[Alkol]]*100)</f>
        <v>0</v>
      </c>
      <c r="O261" s="52">
        <f>(Tablo1[[#This Row],[KALAN ESANS]]/Tablo1[[#This Row],[Esans]]*0.01)*(Tablo1[[#This Row],[Su]]*100)</f>
        <v>0</v>
      </c>
      <c r="P261" s="52">
        <f>Tablo1[[#This Row],[KALAN ESANS]]+Tablo1[[#This Row],[ALKOL Mik]]+Tablo1[[#This Row],[SU Mik]]</f>
        <v>0</v>
      </c>
    </row>
    <row r="262" spans="1:16" ht="15" customHeight="1" x14ac:dyDescent="0.2">
      <c r="A262" s="19" t="s">
        <v>514</v>
      </c>
      <c r="B262" s="42"/>
      <c r="C262" s="2">
        <v>0.17</v>
      </c>
      <c r="D262" s="2">
        <v>0.02</v>
      </c>
      <c r="E262" s="8">
        <f t="shared" si="4"/>
        <v>0.80999999999999994</v>
      </c>
      <c r="F262" s="5" t="s">
        <v>25</v>
      </c>
      <c r="G262" s="18" t="s">
        <v>769</v>
      </c>
      <c r="H262" s="58" t="e">
        <f>((Tablo1[[#This Row],[Esans Fiyat]]/#REF!*Tablo1[[#This Row],[Esans]]*100)+(#REF!/1000*Tablo1[[#This Row],[Su]]*100)+(#REF!/1000*Tablo1[[#This Row],[Alkol]]*100))*(#REF!/100)+#REF!</f>
        <v>#REF!</v>
      </c>
      <c r="I262" s="5" t="s">
        <v>772</v>
      </c>
      <c r="J262" s="52" t="e">
        <f>#REF!*Tablo1[[#This Row],[Esans]]</f>
        <v>#REF!</v>
      </c>
      <c r="K262" s="52" t="e">
        <f>#REF!*Tablo1[[#This Row],[Su]]</f>
        <v>#REF!</v>
      </c>
      <c r="L262" s="52" t="e">
        <f>#REF!*Tablo1[[#This Row],[Alkol]]</f>
        <v>#REF!</v>
      </c>
      <c r="M262" s="45"/>
      <c r="N262" s="52">
        <f>(Tablo1[[#This Row],[KALAN ESANS]]/Tablo1[[#This Row],[Esans]]*0.01)*(Tablo1[[#This Row],[Alkol]]*100)</f>
        <v>0</v>
      </c>
      <c r="O262" s="52">
        <f>(Tablo1[[#This Row],[KALAN ESANS]]/Tablo1[[#This Row],[Esans]]*0.01)*(Tablo1[[#This Row],[Su]]*100)</f>
        <v>0</v>
      </c>
      <c r="P262" s="52">
        <f>Tablo1[[#This Row],[KALAN ESANS]]+Tablo1[[#This Row],[ALKOL Mik]]+Tablo1[[#This Row],[SU Mik]]</f>
        <v>0</v>
      </c>
    </row>
    <row r="263" spans="1:16" ht="15" customHeight="1" x14ac:dyDescent="0.2">
      <c r="A263" s="19" t="s">
        <v>517</v>
      </c>
      <c r="B263" s="42"/>
      <c r="C263" s="2">
        <v>0.2</v>
      </c>
      <c r="D263" s="2">
        <v>0.02</v>
      </c>
      <c r="E263" s="8">
        <f t="shared" si="4"/>
        <v>0.78</v>
      </c>
      <c r="F263" s="5" t="s">
        <v>25</v>
      </c>
      <c r="G263" s="18" t="s">
        <v>769</v>
      </c>
      <c r="H263" s="58" t="e">
        <f>((Tablo1[[#This Row],[Esans Fiyat]]/#REF!*Tablo1[[#This Row],[Esans]]*100)+(#REF!/1000*Tablo1[[#This Row],[Su]]*100)+(#REF!/1000*Tablo1[[#This Row],[Alkol]]*100))*(#REF!/100)+#REF!</f>
        <v>#REF!</v>
      </c>
      <c r="I263" s="5" t="s">
        <v>776</v>
      </c>
      <c r="J263" s="52" t="e">
        <f>#REF!*Tablo1[[#This Row],[Esans]]</f>
        <v>#REF!</v>
      </c>
      <c r="K263" s="52" t="e">
        <f>#REF!*Tablo1[[#This Row],[Su]]</f>
        <v>#REF!</v>
      </c>
      <c r="L263" s="52" t="e">
        <f>#REF!*Tablo1[[#This Row],[Alkol]]</f>
        <v>#REF!</v>
      </c>
      <c r="M263" s="45"/>
      <c r="N263" s="52">
        <f>(Tablo1[[#This Row],[KALAN ESANS]]/Tablo1[[#This Row],[Esans]]*0.01)*(Tablo1[[#This Row],[Alkol]]*100)</f>
        <v>0</v>
      </c>
      <c r="O263" s="52">
        <f>(Tablo1[[#This Row],[KALAN ESANS]]/Tablo1[[#This Row],[Esans]]*0.01)*(Tablo1[[#This Row],[Su]]*100)</f>
        <v>0</v>
      </c>
      <c r="P263" s="52">
        <f>Tablo1[[#This Row],[KALAN ESANS]]+Tablo1[[#This Row],[ALKOL Mik]]+Tablo1[[#This Row],[SU Mik]]</f>
        <v>0</v>
      </c>
    </row>
    <row r="264" spans="1:16" ht="15" customHeight="1" x14ac:dyDescent="0.2">
      <c r="A264" s="19" t="s">
        <v>516</v>
      </c>
      <c r="B264" s="42"/>
      <c r="C264" s="2">
        <v>0.15</v>
      </c>
      <c r="D264" s="2">
        <v>0.02</v>
      </c>
      <c r="E264" s="8">
        <f t="shared" si="4"/>
        <v>0.83</v>
      </c>
      <c r="F264" s="5" t="s">
        <v>28</v>
      </c>
      <c r="G264" s="18" t="s">
        <v>769</v>
      </c>
      <c r="H264" s="58" t="e">
        <f>((Tablo1[[#This Row],[Esans Fiyat]]/#REF!*Tablo1[[#This Row],[Esans]]*100)+(#REF!/1000*Tablo1[[#This Row],[Su]]*100)+(#REF!/1000*Tablo1[[#This Row],[Alkol]]*100))*(#REF!/100)+#REF!</f>
        <v>#REF!</v>
      </c>
      <c r="I264" s="5" t="s">
        <v>772</v>
      </c>
      <c r="J264" s="52" t="e">
        <f>#REF!*Tablo1[[#This Row],[Esans]]</f>
        <v>#REF!</v>
      </c>
      <c r="K264" s="52" t="e">
        <f>#REF!*Tablo1[[#This Row],[Su]]</f>
        <v>#REF!</v>
      </c>
      <c r="L264" s="52" t="e">
        <f>#REF!*Tablo1[[#This Row],[Alkol]]</f>
        <v>#REF!</v>
      </c>
      <c r="M264" s="45"/>
      <c r="N264" s="52">
        <f>(Tablo1[[#This Row],[KALAN ESANS]]/Tablo1[[#This Row],[Esans]]*0.01)*(Tablo1[[#This Row],[Alkol]]*100)</f>
        <v>0</v>
      </c>
      <c r="O264" s="52">
        <f>(Tablo1[[#This Row],[KALAN ESANS]]/Tablo1[[#This Row],[Esans]]*0.01)*(Tablo1[[#This Row],[Su]]*100)</f>
        <v>0</v>
      </c>
      <c r="P264" s="52">
        <f>Tablo1[[#This Row],[KALAN ESANS]]+Tablo1[[#This Row],[ALKOL Mik]]+Tablo1[[#This Row],[SU Mik]]</f>
        <v>0</v>
      </c>
    </row>
    <row r="265" spans="1:16" ht="15" customHeight="1" x14ac:dyDescent="0.2">
      <c r="A265" s="19" t="s">
        <v>515</v>
      </c>
      <c r="B265" s="42"/>
      <c r="C265" s="2">
        <v>0.2</v>
      </c>
      <c r="D265" s="2">
        <v>0.02</v>
      </c>
      <c r="E265" s="8">
        <f t="shared" si="4"/>
        <v>0.78</v>
      </c>
      <c r="F265" s="5" t="s">
        <v>25</v>
      </c>
      <c r="G265" s="18" t="s">
        <v>769</v>
      </c>
      <c r="H265" s="58" t="e">
        <f>((Tablo1[[#This Row],[Esans Fiyat]]/#REF!*Tablo1[[#This Row],[Esans]]*100)+(#REF!/1000*Tablo1[[#This Row],[Su]]*100)+(#REF!/1000*Tablo1[[#This Row],[Alkol]]*100))*(#REF!/100)+#REF!</f>
        <v>#REF!</v>
      </c>
      <c r="I265" s="5" t="s">
        <v>776</v>
      </c>
      <c r="J265" s="52" t="e">
        <f>#REF!*Tablo1[[#This Row],[Esans]]</f>
        <v>#REF!</v>
      </c>
      <c r="K265" s="52" t="e">
        <f>#REF!*Tablo1[[#This Row],[Su]]</f>
        <v>#REF!</v>
      </c>
      <c r="L265" s="52" t="e">
        <f>#REF!*Tablo1[[#This Row],[Alkol]]</f>
        <v>#REF!</v>
      </c>
      <c r="M265" s="45"/>
      <c r="N265" s="52">
        <f>(Tablo1[[#This Row],[KALAN ESANS]]/Tablo1[[#This Row],[Esans]]*0.01)*(Tablo1[[#This Row],[Alkol]]*100)</f>
        <v>0</v>
      </c>
      <c r="O265" s="52">
        <f>(Tablo1[[#This Row],[KALAN ESANS]]/Tablo1[[#This Row],[Esans]]*0.01)*(Tablo1[[#This Row],[Su]]*100)</f>
        <v>0</v>
      </c>
      <c r="P265" s="52">
        <f>Tablo1[[#This Row],[KALAN ESANS]]+Tablo1[[#This Row],[ALKOL Mik]]+Tablo1[[#This Row],[SU Mik]]</f>
        <v>0</v>
      </c>
    </row>
    <row r="266" spans="1:16" ht="15" customHeight="1" x14ac:dyDescent="0.2">
      <c r="A266" s="19" t="s">
        <v>510</v>
      </c>
      <c r="B266" s="42"/>
      <c r="C266" s="2">
        <v>0.15</v>
      </c>
      <c r="D266" s="2">
        <v>0.02</v>
      </c>
      <c r="E266" s="8">
        <f t="shared" si="4"/>
        <v>0.83</v>
      </c>
      <c r="F266" s="5" t="s">
        <v>28</v>
      </c>
      <c r="G266" s="18" t="s">
        <v>769</v>
      </c>
      <c r="H266" s="58" t="e">
        <f>((Tablo1[[#This Row],[Esans Fiyat]]/#REF!*Tablo1[[#This Row],[Esans]]*100)+(#REF!/1000*Tablo1[[#This Row],[Su]]*100)+(#REF!/1000*Tablo1[[#This Row],[Alkol]]*100))*(#REF!/100)+#REF!</f>
        <v>#REF!</v>
      </c>
      <c r="I266" s="5" t="s">
        <v>776</v>
      </c>
      <c r="J266" s="52" t="e">
        <f>#REF!*Tablo1[[#This Row],[Esans]]</f>
        <v>#REF!</v>
      </c>
      <c r="K266" s="52" t="e">
        <f>#REF!*Tablo1[[#This Row],[Su]]</f>
        <v>#REF!</v>
      </c>
      <c r="L266" s="52" t="e">
        <f>#REF!*Tablo1[[#This Row],[Alkol]]</f>
        <v>#REF!</v>
      </c>
      <c r="M266" s="45"/>
      <c r="N266" s="52">
        <f>(Tablo1[[#This Row],[KALAN ESANS]]/Tablo1[[#This Row],[Esans]]*0.01)*(Tablo1[[#This Row],[Alkol]]*100)</f>
        <v>0</v>
      </c>
      <c r="O266" s="52">
        <f>(Tablo1[[#This Row],[KALAN ESANS]]/Tablo1[[#This Row],[Esans]]*0.01)*(Tablo1[[#This Row],[Su]]*100)</f>
        <v>0</v>
      </c>
      <c r="P266" s="52">
        <f>Tablo1[[#This Row],[KALAN ESANS]]+Tablo1[[#This Row],[ALKOL Mik]]+Tablo1[[#This Row],[SU Mik]]</f>
        <v>0</v>
      </c>
    </row>
    <row r="267" spans="1:16" ht="15" customHeight="1" x14ac:dyDescent="0.2">
      <c r="A267" s="19" t="s">
        <v>513</v>
      </c>
      <c r="B267" s="42"/>
      <c r="C267" s="2">
        <v>0.2</v>
      </c>
      <c r="D267" s="2">
        <v>0.02</v>
      </c>
      <c r="E267" s="8">
        <f t="shared" si="4"/>
        <v>0.78</v>
      </c>
      <c r="F267" s="5" t="s">
        <v>25</v>
      </c>
      <c r="G267" s="18" t="s">
        <v>769</v>
      </c>
      <c r="H267" s="58" t="e">
        <f>((Tablo1[[#This Row],[Esans Fiyat]]/#REF!*Tablo1[[#This Row],[Esans]]*100)+(#REF!/1000*Tablo1[[#This Row],[Su]]*100)+(#REF!/1000*Tablo1[[#This Row],[Alkol]]*100))*(#REF!/100)+#REF!</f>
        <v>#REF!</v>
      </c>
      <c r="I267" s="5" t="s">
        <v>776</v>
      </c>
      <c r="J267" s="52" t="e">
        <f>#REF!*Tablo1[[#This Row],[Esans]]</f>
        <v>#REF!</v>
      </c>
      <c r="K267" s="52" t="e">
        <f>#REF!*Tablo1[[#This Row],[Su]]</f>
        <v>#REF!</v>
      </c>
      <c r="L267" s="52" t="e">
        <f>#REF!*Tablo1[[#This Row],[Alkol]]</f>
        <v>#REF!</v>
      </c>
      <c r="M267" s="45"/>
      <c r="N267" s="52">
        <f>(Tablo1[[#This Row],[KALAN ESANS]]/Tablo1[[#This Row],[Esans]]*0.01)*(Tablo1[[#This Row],[Alkol]]*100)</f>
        <v>0</v>
      </c>
      <c r="O267" s="52">
        <f>(Tablo1[[#This Row],[KALAN ESANS]]/Tablo1[[#This Row],[Esans]]*0.01)*(Tablo1[[#This Row],[Su]]*100)</f>
        <v>0</v>
      </c>
      <c r="P267" s="52">
        <f>Tablo1[[#This Row],[KALAN ESANS]]+Tablo1[[#This Row],[ALKOL Mik]]+Tablo1[[#This Row],[SU Mik]]</f>
        <v>0</v>
      </c>
    </row>
    <row r="268" spans="1:16" ht="15" customHeight="1" x14ac:dyDescent="0.2">
      <c r="A268" s="19" t="s">
        <v>512</v>
      </c>
      <c r="B268" s="42"/>
      <c r="C268" s="2">
        <v>0.15</v>
      </c>
      <c r="D268" s="2">
        <v>0.02</v>
      </c>
      <c r="E268" s="8">
        <f t="shared" si="4"/>
        <v>0.83</v>
      </c>
      <c r="F268" s="5" t="s">
        <v>28</v>
      </c>
      <c r="G268" s="18" t="s">
        <v>769</v>
      </c>
      <c r="H268" s="58" t="e">
        <f>((Tablo1[[#This Row],[Esans Fiyat]]/#REF!*Tablo1[[#This Row],[Esans]]*100)+(#REF!/1000*Tablo1[[#This Row],[Su]]*100)+(#REF!/1000*Tablo1[[#This Row],[Alkol]]*100))*(#REF!/100)+#REF!</f>
        <v>#REF!</v>
      </c>
      <c r="I268" s="5" t="s">
        <v>776</v>
      </c>
      <c r="J268" s="52" t="e">
        <f>#REF!*Tablo1[[#This Row],[Esans]]</f>
        <v>#REF!</v>
      </c>
      <c r="K268" s="52" t="e">
        <f>#REF!*Tablo1[[#This Row],[Su]]</f>
        <v>#REF!</v>
      </c>
      <c r="L268" s="52" t="e">
        <f>#REF!*Tablo1[[#This Row],[Alkol]]</f>
        <v>#REF!</v>
      </c>
      <c r="M268" s="45"/>
      <c r="N268" s="52">
        <f>(Tablo1[[#This Row],[KALAN ESANS]]/Tablo1[[#This Row],[Esans]]*0.01)*(Tablo1[[#This Row],[Alkol]]*100)</f>
        <v>0</v>
      </c>
      <c r="O268" s="52">
        <f>(Tablo1[[#This Row],[KALAN ESANS]]/Tablo1[[#This Row],[Esans]]*0.01)*(Tablo1[[#This Row],[Su]]*100)</f>
        <v>0</v>
      </c>
      <c r="P268" s="52">
        <f>Tablo1[[#This Row],[KALAN ESANS]]+Tablo1[[#This Row],[ALKOL Mik]]+Tablo1[[#This Row],[SU Mik]]</f>
        <v>0</v>
      </c>
    </row>
    <row r="269" spans="1:16" ht="15" customHeight="1" x14ac:dyDescent="0.2">
      <c r="A269" s="19" t="s">
        <v>511</v>
      </c>
      <c r="B269" s="42"/>
      <c r="C269" s="2">
        <v>0.2</v>
      </c>
      <c r="D269" s="2">
        <v>0.02</v>
      </c>
      <c r="E269" s="8">
        <f t="shared" si="4"/>
        <v>0.78</v>
      </c>
      <c r="F269" s="5" t="s">
        <v>25</v>
      </c>
      <c r="G269" s="18" t="s">
        <v>769</v>
      </c>
      <c r="H269" s="58" t="e">
        <f>((Tablo1[[#This Row],[Esans Fiyat]]/#REF!*Tablo1[[#This Row],[Esans]]*100)+(#REF!/1000*Tablo1[[#This Row],[Su]]*100)+(#REF!/1000*Tablo1[[#This Row],[Alkol]]*100))*(#REF!/100)+#REF!</f>
        <v>#REF!</v>
      </c>
      <c r="I269" s="5" t="s">
        <v>776</v>
      </c>
      <c r="J269" s="52" t="e">
        <f>#REF!*Tablo1[[#This Row],[Esans]]</f>
        <v>#REF!</v>
      </c>
      <c r="K269" s="52" t="e">
        <f>#REF!*Tablo1[[#This Row],[Su]]</f>
        <v>#REF!</v>
      </c>
      <c r="L269" s="52" t="e">
        <f>#REF!*Tablo1[[#This Row],[Alkol]]</f>
        <v>#REF!</v>
      </c>
      <c r="M269" s="45"/>
      <c r="N269" s="52">
        <f>(Tablo1[[#This Row],[KALAN ESANS]]/Tablo1[[#This Row],[Esans]]*0.01)*(Tablo1[[#This Row],[Alkol]]*100)</f>
        <v>0</v>
      </c>
      <c r="O269" s="52">
        <f>(Tablo1[[#This Row],[KALAN ESANS]]/Tablo1[[#This Row],[Esans]]*0.01)*(Tablo1[[#This Row],[Su]]*100)</f>
        <v>0</v>
      </c>
      <c r="P269" s="52">
        <f>Tablo1[[#This Row],[KALAN ESANS]]+Tablo1[[#This Row],[ALKOL Mik]]+Tablo1[[#This Row],[SU Mik]]</f>
        <v>0</v>
      </c>
    </row>
    <row r="270" spans="1:16" ht="15" customHeight="1" x14ac:dyDescent="0.2">
      <c r="A270" s="19" t="s">
        <v>520</v>
      </c>
      <c r="B270" s="42"/>
      <c r="C270" s="2">
        <v>0.2</v>
      </c>
      <c r="D270" s="2">
        <v>0.02</v>
      </c>
      <c r="E270" s="8">
        <f t="shared" si="4"/>
        <v>0.78</v>
      </c>
      <c r="F270" s="5" t="s">
        <v>25</v>
      </c>
      <c r="G270" s="18" t="s">
        <v>769</v>
      </c>
      <c r="H270" s="58" t="e">
        <f>((Tablo1[[#This Row],[Esans Fiyat]]/#REF!*Tablo1[[#This Row],[Esans]]*100)+(#REF!/1000*Tablo1[[#This Row],[Su]]*100)+(#REF!/1000*Tablo1[[#This Row],[Alkol]]*100))*(#REF!/100)+#REF!</f>
        <v>#REF!</v>
      </c>
      <c r="I270" s="5" t="s">
        <v>776</v>
      </c>
      <c r="J270" s="52" t="e">
        <f>#REF!*Tablo1[[#This Row],[Esans]]</f>
        <v>#REF!</v>
      </c>
      <c r="K270" s="52" t="e">
        <f>#REF!*Tablo1[[#This Row],[Su]]</f>
        <v>#REF!</v>
      </c>
      <c r="L270" s="52" t="e">
        <f>#REF!*Tablo1[[#This Row],[Alkol]]</f>
        <v>#REF!</v>
      </c>
      <c r="M270" s="45"/>
      <c r="N270" s="52">
        <f>(Tablo1[[#This Row],[KALAN ESANS]]/Tablo1[[#This Row],[Esans]]*0.01)*(Tablo1[[#This Row],[Alkol]]*100)</f>
        <v>0</v>
      </c>
      <c r="O270" s="52">
        <f>(Tablo1[[#This Row],[KALAN ESANS]]/Tablo1[[#This Row],[Esans]]*0.01)*(Tablo1[[#This Row],[Su]]*100)</f>
        <v>0</v>
      </c>
      <c r="P270" s="52">
        <f>Tablo1[[#This Row],[KALAN ESANS]]+Tablo1[[#This Row],[ALKOL Mik]]+Tablo1[[#This Row],[SU Mik]]</f>
        <v>0</v>
      </c>
    </row>
    <row r="271" spans="1:16" ht="15" customHeight="1" x14ac:dyDescent="0.2">
      <c r="A271" s="19" t="s">
        <v>508</v>
      </c>
      <c r="B271" s="42"/>
      <c r="C271" s="2">
        <v>0.2</v>
      </c>
      <c r="D271" s="2">
        <v>0.02</v>
      </c>
      <c r="E271" s="8">
        <f t="shared" si="4"/>
        <v>0.78</v>
      </c>
      <c r="F271" s="5" t="s">
        <v>25</v>
      </c>
      <c r="G271" s="18" t="s">
        <v>769</v>
      </c>
      <c r="H271" s="58" t="e">
        <f>((Tablo1[[#This Row],[Esans Fiyat]]/#REF!*Tablo1[[#This Row],[Esans]]*100)+(#REF!/1000*Tablo1[[#This Row],[Su]]*100)+(#REF!/1000*Tablo1[[#This Row],[Alkol]]*100))*(#REF!/100)+#REF!</f>
        <v>#REF!</v>
      </c>
      <c r="I271" s="5" t="s">
        <v>776</v>
      </c>
      <c r="J271" s="52" t="e">
        <f>#REF!*Tablo1[[#This Row],[Esans]]</f>
        <v>#REF!</v>
      </c>
      <c r="K271" s="52" t="e">
        <f>#REF!*Tablo1[[#This Row],[Su]]</f>
        <v>#REF!</v>
      </c>
      <c r="L271" s="52" t="e">
        <f>#REF!*Tablo1[[#This Row],[Alkol]]</f>
        <v>#REF!</v>
      </c>
      <c r="M271" s="45"/>
      <c r="N271" s="52">
        <f>(Tablo1[[#This Row],[KALAN ESANS]]/Tablo1[[#This Row],[Esans]]*0.01)*(Tablo1[[#This Row],[Alkol]]*100)</f>
        <v>0</v>
      </c>
      <c r="O271" s="52">
        <f>(Tablo1[[#This Row],[KALAN ESANS]]/Tablo1[[#This Row],[Esans]]*0.01)*(Tablo1[[#This Row],[Su]]*100)</f>
        <v>0</v>
      </c>
      <c r="P271" s="52">
        <f>Tablo1[[#This Row],[KALAN ESANS]]+Tablo1[[#This Row],[ALKOL Mik]]+Tablo1[[#This Row],[SU Mik]]</f>
        <v>0</v>
      </c>
    </row>
    <row r="272" spans="1:16" ht="15" customHeight="1" x14ac:dyDescent="0.2">
      <c r="A272" s="19" t="s">
        <v>509</v>
      </c>
      <c r="B272" s="42"/>
      <c r="C272" s="2">
        <v>0.15</v>
      </c>
      <c r="D272" s="2">
        <v>0.02</v>
      </c>
      <c r="E272" s="8">
        <f t="shared" si="4"/>
        <v>0.83</v>
      </c>
      <c r="F272" s="5" t="s">
        <v>28</v>
      </c>
      <c r="G272" s="18" t="s">
        <v>769</v>
      </c>
      <c r="H272" s="58" t="e">
        <f>((Tablo1[[#This Row],[Esans Fiyat]]/#REF!*Tablo1[[#This Row],[Esans]]*100)+(#REF!/1000*Tablo1[[#This Row],[Su]]*100)+(#REF!/1000*Tablo1[[#This Row],[Alkol]]*100))*(#REF!/100)+#REF!</f>
        <v>#REF!</v>
      </c>
      <c r="I272" s="5" t="s">
        <v>772</v>
      </c>
      <c r="J272" s="52" t="e">
        <f>#REF!*Tablo1[[#This Row],[Esans]]</f>
        <v>#REF!</v>
      </c>
      <c r="K272" s="52" t="e">
        <f>#REF!*Tablo1[[#This Row],[Su]]</f>
        <v>#REF!</v>
      </c>
      <c r="L272" s="52" t="e">
        <f>#REF!*Tablo1[[#This Row],[Alkol]]</f>
        <v>#REF!</v>
      </c>
      <c r="M272" s="45"/>
      <c r="N272" s="52">
        <f>(Tablo1[[#This Row],[KALAN ESANS]]/Tablo1[[#This Row],[Esans]]*0.01)*(Tablo1[[#This Row],[Alkol]]*100)</f>
        <v>0</v>
      </c>
      <c r="O272" s="52">
        <f>(Tablo1[[#This Row],[KALAN ESANS]]/Tablo1[[#This Row],[Esans]]*0.01)*(Tablo1[[#This Row],[Su]]*100)</f>
        <v>0</v>
      </c>
      <c r="P272" s="52">
        <f>Tablo1[[#This Row],[KALAN ESANS]]+Tablo1[[#This Row],[ALKOL Mik]]+Tablo1[[#This Row],[SU Mik]]</f>
        <v>0</v>
      </c>
    </row>
    <row r="273" spans="1:16" ht="15" customHeight="1" x14ac:dyDescent="0.2">
      <c r="A273" s="19" t="s">
        <v>507</v>
      </c>
      <c r="B273" s="42"/>
      <c r="C273" s="2">
        <v>0.2</v>
      </c>
      <c r="D273" s="2">
        <v>0.02</v>
      </c>
      <c r="E273" s="8">
        <f t="shared" si="4"/>
        <v>0.78</v>
      </c>
      <c r="F273" s="5" t="s">
        <v>25</v>
      </c>
      <c r="G273" s="18" t="s">
        <v>769</v>
      </c>
      <c r="H273" s="58" t="e">
        <f>((Tablo1[[#This Row],[Esans Fiyat]]/#REF!*Tablo1[[#This Row],[Esans]]*100)+(#REF!/1000*Tablo1[[#This Row],[Su]]*100)+(#REF!/1000*Tablo1[[#This Row],[Alkol]]*100))*(#REF!/100)+#REF!</f>
        <v>#REF!</v>
      </c>
      <c r="I273" s="5" t="s">
        <v>776</v>
      </c>
      <c r="J273" s="52" t="e">
        <f>#REF!*Tablo1[[#This Row],[Esans]]</f>
        <v>#REF!</v>
      </c>
      <c r="K273" s="52" t="e">
        <f>#REF!*Tablo1[[#This Row],[Su]]</f>
        <v>#REF!</v>
      </c>
      <c r="L273" s="52" t="e">
        <f>#REF!*Tablo1[[#This Row],[Alkol]]</f>
        <v>#REF!</v>
      </c>
      <c r="M273" s="45"/>
      <c r="N273" s="52">
        <f>(Tablo1[[#This Row],[KALAN ESANS]]/Tablo1[[#This Row],[Esans]]*0.01)*(Tablo1[[#This Row],[Alkol]]*100)</f>
        <v>0</v>
      </c>
      <c r="O273" s="52">
        <f>(Tablo1[[#This Row],[KALAN ESANS]]/Tablo1[[#This Row],[Esans]]*0.01)*(Tablo1[[#This Row],[Su]]*100)</f>
        <v>0</v>
      </c>
      <c r="P273" s="52">
        <f>Tablo1[[#This Row],[KALAN ESANS]]+Tablo1[[#This Row],[ALKOL Mik]]+Tablo1[[#This Row],[SU Mik]]</f>
        <v>0</v>
      </c>
    </row>
    <row r="274" spans="1:16" ht="15" customHeight="1" x14ac:dyDescent="0.2">
      <c r="A274" s="19" t="s">
        <v>506</v>
      </c>
      <c r="B274" s="42"/>
      <c r="C274" s="2">
        <v>0.2</v>
      </c>
      <c r="D274" s="2">
        <v>0.02</v>
      </c>
      <c r="E274" s="8">
        <f t="shared" si="4"/>
        <v>0.78</v>
      </c>
      <c r="F274" s="5" t="s">
        <v>25</v>
      </c>
      <c r="G274" s="18" t="s">
        <v>769</v>
      </c>
      <c r="H274" s="58" t="e">
        <f>((Tablo1[[#This Row],[Esans Fiyat]]/#REF!*Tablo1[[#This Row],[Esans]]*100)+(#REF!/1000*Tablo1[[#This Row],[Su]]*100)+(#REF!/1000*Tablo1[[#This Row],[Alkol]]*100))*(#REF!/100)+#REF!</f>
        <v>#REF!</v>
      </c>
      <c r="I274" s="5" t="s">
        <v>776</v>
      </c>
      <c r="J274" s="52" t="e">
        <f>#REF!*Tablo1[[#This Row],[Esans]]</f>
        <v>#REF!</v>
      </c>
      <c r="K274" s="52" t="e">
        <f>#REF!*Tablo1[[#This Row],[Su]]</f>
        <v>#REF!</v>
      </c>
      <c r="L274" s="52" t="e">
        <f>#REF!*Tablo1[[#This Row],[Alkol]]</f>
        <v>#REF!</v>
      </c>
      <c r="M274" s="45"/>
      <c r="N274" s="52">
        <f>(Tablo1[[#This Row],[KALAN ESANS]]/Tablo1[[#This Row],[Esans]]*0.01)*(Tablo1[[#This Row],[Alkol]]*100)</f>
        <v>0</v>
      </c>
      <c r="O274" s="52">
        <f>(Tablo1[[#This Row],[KALAN ESANS]]/Tablo1[[#This Row],[Esans]]*0.01)*(Tablo1[[#This Row],[Su]]*100)</f>
        <v>0</v>
      </c>
      <c r="P274" s="52">
        <f>Tablo1[[#This Row],[KALAN ESANS]]+Tablo1[[#This Row],[ALKOL Mik]]+Tablo1[[#This Row],[SU Mik]]</f>
        <v>0</v>
      </c>
    </row>
    <row r="275" spans="1:16" ht="15" customHeight="1" x14ac:dyDescent="0.2">
      <c r="A275" s="19" t="s">
        <v>505</v>
      </c>
      <c r="B275" s="42"/>
      <c r="C275" s="2">
        <v>0.2</v>
      </c>
      <c r="D275" s="2">
        <v>0.02</v>
      </c>
      <c r="E275" s="8">
        <f t="shared" si="4"/>
        <v>0.78</v>
      </c>
      <c r="F275" s="5" t="s">
        <v>25</v>
      </c>
      <c r="G275" s="18" t="s">
        <v>769</v>
      </c>
      <c r="H275" s="58" t="e">
        <f>((Tablo1[[#This Row],[Esans Fiyat]]/#REF!*Tablo1[[#This Row],[Esans]]*100)+(#REF!/1000*Tablo1[[#This Row],[Su]]*100)+(#REF!/1000*Tablo1[[#This Row],[Alkol]]*100))*(#REF!/100)+#REF!</f>
        <v>#REF!</v>
      </c>
      <c r="I275" s="5" t="s">
        <v>776</v>
      </c>
      <c r="J275" s="52" t="e">
        <f>#REF!*Tablo1[[#This Row],[Esans]]</f>
        <v>#REF!</v>
      </c>
      <c r="K275" s="52" t="e">
        <f>#REF!*Tablo1[[#This Row],[Su]]</f>
        <v>#REF!</v>
      </c>
      <c r="L275" s="52" t="e">
        <f>#REF!*Tablo1[[#This Row],[Alkol]]</f>
        <v>#REF!</v>
      </c>
      <c r="M275" s="45"/>
      <c r="N275" s="52">
        <f>(Tablo1[[#This Row],[KALAN ESANS]]/Tablo1[[#This Row],[Esans]]*0.01)*(Tablo1[[#This Row],[Alkol]]*100)</f>
        <v>0</v>
      </c>
      <c r="O275" s="52">
        <f>(Tablo1[[#This Row],[KALAN ESANS]]/Tablo1[[#This Row],[Esans]]*0.01)*(Tablo1[[#This Row],[Su]]*100)</f>
        <v>0</v>
      </c>
      <c r="P275" s="52">
        <f>Tablo1[[#This Row],[KALAN ESANS]]+Tablo1[[#This Row],[ALKOL Mik]]+Tablo1[[#This Row],[SU Mik]]</f>
        <v>0</v>
      </c>
    </row>
    <row r="276" spans="1:16" ht="15" customHeight="1" x14ac:dyDescent="0.2">
      <c r="A276" s="19" t="s">
        <v>289</v>
      </c>
      <c r="B276" s="42"/>
      <c r="C276" s="2">
        <v>0.2</v>
      </c>
      <c r="D276" s="2">
        <v>0.02</v>
      </c>
      <c r="E276" s="8">
        <f t="shared" si="4"/>
        <v>0.78</v>
      </c>
      <c r="F276" s="5" t="s">
        <v>25</v>
      </c>
      <c r="G276" s="18" t="s">
        <v>769</v>
      </c>
      <c r="H276" s="58" t="e">
        <f>((Tablo1[[#This Row],[Esans Fiyat]]/#REF!*Tablo1[[#This Row],[Esans]]*100)+(#REF!/1000*Tablo1[[#This Row],[Su]]*100)+(#REF!/1000*Tablo1[[#This Row],[Alkol]]*100))*(#REF!/100)+#REF!</f>
        <v>#REF!</v>
      </c>
      <c r="I276" s="5" t="s">
        <v>776</v>
      </c>
      <c r="J276" s="52" t="e">
        <f>#REF!*Tablo1[[#This Row],[Esans]]</f>
        <v>#REF!</v>
      </c>
      <c r="K276" s="52" t="e">
        <f>#REF!*Tablo1[[#This Row],[Su]]</f>
        <v>#REF!</v>
      </c>
      <c r="L276" s="52" t="e">
        <f>#REF!*Tablo1[[#This Row],[Alkol]]</f>
        <v>#REF!</v>
      </c>
      <c r="M276" s="45"/>
      <c r="N276" s="52">
        <f>(Tablo1[[#This Row],[KALAN ESANS]]/Tablo1[[#This Row],[Esans]]*0.01)*(Tablo1[[#This Row],[Alkol]]*100)</f>
        <v>0</v>
      </c>
      <c r="O276" s="52">
        <f>(Tablo1[[#This Row],[KALAN ESANS]]/Tablo1[[#This Row],[Esans]]*0.01)*(Tablo1[[#This Row],[Su]]*100)</f>
        <v>0</v>
      </c>
      <c r="P276" s="52">
        <f>Tablo1[[#This Row],[KALAN ESANS]]+Tablo1[[#This Row],[ALKOL Mik]]+Tablo1[[#This Row],[SU Mik]]</f>
        <v>0</v>
      </c>
    </row>
    <row r="277" spans="1:16" ht="15" customHeight="1" x14ac:dyDescent="0.2">
      <c r="A277" s="19" t="s">
        <v>278</v>
      </c>
      <c r="B277" s="42"/>
      <c r="C277" s="2">
        <v>0.2</v>
      </c>
      <c r="D277" s="2">
        <v>0.02</v>
      </c>
      <c r="E277" s="8">
        <f t="shared" si="4"/>
        <v>0.78</v>
      </c>
      <c r="F277" s="5" t="s">
        <v>25</v>
      </c>
      <c r="G277" s="18" t="s">
        <v>769</v>
      </c>
      <c r="H277" s="58" t="e">
        <f>((Tablo1[[#This Row],[Esans Fiyat]]/#REF!*Tablo1[[#This Row],[Esans]]*100)+(#REF!/1000*Tablo1[[#This Row],[Su]]*100)+(#REF!/1000*Tablo1[[#This Row],[Alkol]]*100))*(#REF!/100)+#REF!</f>
        <v>#REF!</v>
      </c>
      <c r="I277" s="5" t="s">
        <v>776</v>
      </c>
      <c r="J277" s="52" t="e">
        <f>#REF!*Tablo1[[#This Row],[Esans]]</f>
        <v>#REF!</v>
      </c>
      <c r="K277" s="52" t="e">
        <f>#REF!*Tablo1[[#This Row],[Su]]</f>
        <v>#REF!</v>
      </c>
      <c r="L277" s="52" t="e">
        <f>#REF!*Tablo1[[#This Row],[Alkol]]</f>
        <v>#REF!</v>
      </c>
      <c r="M277" s="45"/>
      <c r="N277" s="52">
        <f>(Tablo1[[#This Row],[KALAN ESANS]]/Tablo1[[#This Row],[Esans]]*0.01)*(Tablo1[[#This Row],[Alkol]]*100)</f>
        <v>0</v>
      </c>
      <c r="O277" s="52">
        <f>(Tablo1[[#This Row],[KALAN ESANS]]/Tablo1[[#This Row],[Esans]]*0.01)*(Tablo1[[#This Row],[Su]]*100)</f>
        <v>0</v>
      </c>
      <c r="P277" s="52">
        <f>Tablo1[[#This Row],[KALAN ESANS]]+Tablo1[[#This Row],[ALKOL Mik]]+Tablo1[[#This Row],[SU Mik]]</f>
        <v>0</v>
      </c>
    </row>
    <row r="278" spans="1:16" ht="15" customHeight="1" x14ac:dyDescent="0.2">
      <c r="A278" s="19" t="s">
        <v>504</v>
      </c>
      <c r="B278" s="42"/>
      <c r="C278" s="2">
        <v>0.2</v>
      </c>
      <c r="D278" s="2">
        <v>0.02</v>
      </c>
      <c r="E278" s="8">
        <f t="shared" si="4"/>
        <v>0.78</v>
      </c>
      <c r="F278" s="5" t="s">
        <v>25</v>
      </c>
      <c r="G278" s="18" t="s">
        <v>769</v>
      </c>
      <c r="H278" s="58" t="e">
        <f>((Tablo1[[#This Row],[Esans Fiyat]]/#REF!*Tablo1[[#This Row],[Esans]]*100)+(#REF!/1000*Tablo1[[#This Row],[Su]]*100)+(#REF!/1000*Tablo1[[#This Row],[Alkol]]*100))*(#REF!/100)+#REF!</f>
        <v>#REF!</v>
      </c>
      <c r="I278" s="5" t="s">
        <v>776</v>
      </c>
      <c r="J278" s="52" t="e">
        <f>#REF!*Tablo1[[#This Row],[Esans]]</f>
        <v>#REF!</v>
      </c>
      <c r="K278" s="52" t="e">
        <f>#REF!*Tablo1[[#This Row],[Su]]</f>
        <v>#REF!</v>
      </c>
      <c r="L278" s="52" t="e">
        <f>#REF!*Tablo1[[#This Row],[Alkol]]</f>
        <v>#REF!</v>
      </c>
      <c r="M278" s="45"/>
      <c r="N278" s="52">
        <f>(Tablo1[[#This Row],[KALAN ESANS]]/Tablo1[[#This Row],[Esans]]*0.01)*(Tablo1[[#This Row],[Alkol]]*100)</f>
        <v>0</v>
      </c>
      <c r="O278" s="52">
        <f>(Tablo1[[#This Row],[KALAN ESANS]]/Tablo1[[#This Row],[Esans]]*0.01)*(Tablo1[[#This Row],[Su]]*100)</f>
        <v>0</v>
      </c>
      <c r="P278" s="52">
        <f>Tablo1[[#This Row],[KALAN ESANS]]+Tablo1[[#This Row],[ALKOL Mik]]+Tablo1[[#This Row],[SU Mik]]</f>
        <v>0</v>
      </c>
    </row>
    <row r="279" spans="1:16" ht="15" customHeight="1" x14ac:dyDescent="0.2">
      <c r="A279" s="19" t="s">
        <v>502</v>
      </c>
      <c r="B279" s="42"/>
      <c r="C279" s="2">
        <v>0.15</v>
      </c>
      <c r="D279" s="2">
        <v>0.02</v>
      </c>
      <c r="E279" s="8">
        <f t="shared" si="4"/>
        <v>0.83</v>
      </c>
      <c r="F279" s="5" t="s">
        <v>28</v>
      </c>
      <c r="G279" s="18" t="s">
        <v>769</v>
      </c>
      <c r="H279" s="58" t="e">
        <f>((Tablo1[[#This Row],[Esans Fiyat]]/#REF!*Tablo1[[#This Row],[Esans]]*100)+(#REF!/1000*Tablo1[[#This Row],[Su]]*100)+(#REF!/1000*Tablo1[[#This Row],[Alkol]]*100))*(#REF!/100)+#REF!</f>
        <v>#REF!</v>
      </c>
      <c r="I279" s="5" t="s">
        <v>776</v>
      </c>
      <c r="J279" s="52" t="e">
        <f>#REF!*Tablo1[[#This Row],[Esans]]</f>
        <v>#REF!</v>
      </c>
      <c r="K279" s="52" t="e">
        <f>#REF!*Tablo1[[#This Row],[Su]]</f>
        <v>#REF!</v>
      </c>
      <c r="L279" s="52" t="e">
        <f>#REF!*Tablo1[[#This Row],[Alkol]]</f>
        <v>#REF!</v>
      </c>
      <c r="M279" s="45"/>
      <c r="N279" s="52">
        <f>(Tablo1[[#This Row],[KALAN ESANS]]/Tablo1[[#This Row],[Esans]]*0.01)*(Tablo1[[#This Row],[Alkol]]*100)</f>
        <v>0</v>
      </c>
      <c r="O279" s="52">
        <f>(Tablo1[[#This Row],[KALAN ESANS]]/Tablo1[[#This Row],[Esans]]*0.01)*(Tablo1[[#This Row],[Su]]*100)</f>
        <v>0</v>
      </c>
      <c r="P279" s="52">
        <f>Tablo1[[#This Row],[KALAN ESANS]]+Tablo1[[#This Row],[ALKOL Mik]]+Tablo1[[#This Row],[SU Mik]]</f>
        <v>0</v>
      </c>
    </row>
    <row r="280" spans="1:16" ht="15" customHeight="1" x14ac:dyDescent="0.2">
      <c r="A280" s="19" t="s">
        <v>498</v>
      </c>
      <c r="B280" s="42"/>
      <c r="C280" s="2">
        <v>0.2</v>
      </c>
      <c r="D280" s="2">
        <v>0.02</v>
      </c>
      <c r="E280" s="8">
        <f t="shared" si="4"/>
        <v>0.78</v>
      </c>
      <c r="F280" s="5" t="s">
        <v>25</v>
      </c>
      <c r="G280" s="18" t="s">
        <v>769</v>
      </c>
      <c r="H280" s="58" t="e">
        <f>((Tablo1[[#This Row],[Esans Fiyat]]/#REF!*Tablo1[[#This Row],[Esans]]*100)+(#REF!/1000*Tablo1[[#This Row],[Su]]*100)+(#REF!/1000*Tablo1[[#This Row],[Alkol]]*100))*(#REF!/100)+#REF!</f>
        <v>#REF!</v>
      </c>
      <c r="I280" s="5" t="s">
        <v>772</v>
      </c>
      <c r="J280" s="52" t="e">
        <f>#REF!*Tablo1[[#This Row],[Esans]]</f>
        <v>#REF!</v>
      </c>
      <c r="K280" s="52" t="e">
        <f>#REF!*Tablo1[[#This Row],[Su]]</f>
        <v>#REF!</v>
      </c>
      <c r="L280" s="52" t="e">
        <f>#REF!*Tablo1[[#This Row],[Alkol]]</f>
        <v>#REF!</v>
      </c>
      <c r="M280" s="45"/>
      <c r="N280" s="52">
        <f>(Tablo1[[#This Row],[KALAN ESANS]]/Tablo1[[#This Row],[Esans]]*0.01)*(Tablo1[[#This Row],[Alkol]]*100)</f>
        <v>0</v>
      </c>
      <c r="O280" s="52">
        <f>(Tablo1[[#This Row],[KALAN ESANS]]/Tablo1[[#This Row],[Esans]]*0.01)*(Tablo1[[#This Row],[Su]]*100)</f>
        <v>0</v>
      </c>
      <c r="P280" s="52">
        <f>Tablo1[[#This Row],[KALAN ESANS]]+Tablo1[[#This Row],[ALKOL Mik]]+Tablo1[[#This Row],[SU Mik]]</f>
        <v>0</v>
      </c>
    </row>
    <row r="281" spans="1:16" ht="15" customHeight="1" x14ac:dyDescent="0.2">
      <c r="A281" s="19" t="s">
        <v>503</v>
      </c>
      <c r="B281" s="42"/>
      <c r="C281" s="2">
        <v>0.15</v>
      </c>
      <c r="D281" s="2">
        <v>0.02</v>
      </c>
      <c r="E281" s="8">
        <f t="shared" si="4"/>
        <v>0.83</v>
      </c>
      <c r="F281" s="5" t="s">
        <v>28</v>
      </c>
      <c r="G281" s="18" t="s">
        <v>769</v>
      </c>
      <c r="H281" s="58" t="e">
        <f>((Tablo1[[#This Row],[Esans Fiyat]]/#REF!*Tablo1[[#This Row],[Esans]]*100)+(#REF!/1000*Tablo1[[#This Row],[Su]]*100)+(#REF!/1000*Tablo1[[#This Row],[Alkol]]*100))*(#REF!/100)+#REF!</f>
        <v>#REF!</v>
      </c>
      <c r="I281" s="5" t="s">
        <v>776</v>
      </c>
      <c r="J281" s="52" t="e">
        <f>#REF!*Tablo1[[#This Row],[Esans]]</f>
        <v>#REF!</v>
      </c>
      <c r="K281" s="52" t="e">
        <f>#REF!*Tablo1[[#This Row],[Su]]</f>
        <v>#REF!</v>
      </c>
      <c r="L281" s="52" t="e">
        <f>#REF!*Tablo1[[#This Row],[Alkol]]</f>
        <v>#REF!</v>
      </c>
      <c r="M281" s="45"/>
      <c r="N281" s="52">
        <f>(Tablo1[[#This Row],[KALAN ESANS]]/Tablo1[[#This Row],[Esans]]*0.01)*(Tablo1[[#This Row],[Alkol]]*100)</f>
        <v>0</v>
      </c>
      <c r="O281" s="52">
        <f>(Tablo1[[#This Row],[KALAN ESANS]]/Tablo1[[#This Row],[Esans]]*0.01)*(Tablo1[[#This Row],[Su]]*100)</f>
        <v>0</v>
      </c>
      <c r="P281" s="52">
        <f>Tablo1[[#This Row],[KALAN ESANS]]+Tablo1[[#This Row],[ALKOL Mik]]+Tablo1[[#This Row],[SU Mik]]</f>
        <v>0</v>
      </c>
    </row>
    <row r="282" spans="1:16" ht="15" customHeight="1" x14ac:dyDescent="0.2">
      <c r="A282" s="19" t="s">
        <v>497</v>
      </c>
      <c r="B282" s="42"/>
      <c r="C282" s="2">
        <v>0.2</v>
      </c>
      <c r="D282" s="2">
        <v>0.02</v>
      </c>
      <c r="E282" s="8">
        <f t="shared" si="4"/>
        <v>0.78</v>
      </c>
      <c r="F282" s="5" t="s">
        <v>25</v>
      </c>
      <c r="G282" s="18" t="s">
        <v>769</v>
      </c>
      <c r="H282" s="58" t="e">
        <f>((Tablo1[[#This Row],[Esans Fiyat]]/#REF!*Tablo1[[#This Row],[Esans]]*100)+(#REF!/1000*Tablo1[[#This Row],[Su]]*100)+(#REF!/1000*Tablo1[[#This Row],[Alkol]]*100))*(#REF!/100)+#REF!</f>
        <v>#REF!</v>
      </c>
      <c r="I282" s="5" t="s">
        <v>776</v>
      </c>
      <c r="J282" s="52" t="e">
        <f>#REF!*Tablo1[[#This Row],[Esans]]</f>
        <v>#REF!</v>
      </c>
      <c r="K282" s="52" t="e">
        <f>#REF!*Tablo1[[#This Row],[Su]]</f>
        <v>#REF!</v>
      </c>
      <c r="L282" s="52" t="e">
        <f>#REF!*Tablo1[[#This Row],[Alkol]]</f>
        <v>#REF!</v>
      </c>
      <c r="M282" s="45"/>
      <c r="N282" s="52">
        <f>(Tablo1[[#This Row],[KALAN ESANS]]/Tablo1[[#This Row],[Esans]]*0.01)*(Tablo1[[#This Row],[Alkol]]*100)</f>
        <v>0</v>
      </c>
      <c r="O282" s="52">
        <f>(Tablo1[[#This Row],[KALAN ESANS]]/Tablo1[[#This Row],[Esans]]*0.01)*(Tablo1[[#This Row],[Su]]*100)</f>
        <v>0</v>
      </c>
      <c r="P282" s="52">
        <f>Tablo1[[#This Row],[KALAN ESANS]]+Tablo1[[#This Row],[ALKOL Mik]]+Tablo1[[#This Row],[SU Mik]]</f>
        <v>0</v>
      </c>
    </row>
    <row r="283" spans="1:16" ht="15" customHeight="1" x14ac:dyDescent="0.2">
      <c r="A283" s="19" t="s">
        <v>500</v>
      </c>
      <c r="B283" s="42"/>
      <c r="C283" s="2">
        <v>0.2</v>
      </c>
      <c r="D283" s="2">
        <v>0.02</v>
      </c>
      <c r="E283" s="8">
        <f t="shared" si="4"/>
        <v>0.78</v>
      </c>
      <c r="F283" s="5" t="s">
        <v>25</v>
      </c>
      <c r="G283" s="18" t="s">
        <v>769</v>
      </c>
      <c r="H283" s="58" t="e">
        <f>((Tablo1[[#This Row],[Esans Fiyat]]/#REF!*Tablo1[[#This Row],[Esans]]*100)+(#REF!/1000*Tablo1[[#This Row],[Su]]*100)+(#REF!/1000*Tablo1[[#This Row],[Alkol]]*100))*(#REF!/100)+#REF!</f>
        <v>#REF!</v>
      </c>
      <c r="I283" s="5" t="s">
        <v>776</v>
      </c>
      <c r="J283" s="52" t="e">
        <f>#REF!*Tablo1[[#This Row],[Esans]]</f>
        <v>#REF!</v>
      </c>
      <c r="K283" s="52" t="e">
        <f>#REF!*Tablo1[[#This Row],[Su]]</f>
        <v>#REF!</v>
      </c>
      <c r="L283" s="52" t="e">
        <f>#REF!*Tablo1[[#This Row],[Alkol]]</f>
        <v>#REF!</v>
      </c>
      <c r="M283" s="45"/>
      <c r="N283" s="52">
        <f>(Tablo1[[#This Row],[KALAN ESANS]]/Tablo1[[#This Row],[Esans]]*0.01)*(Tablo1[[#This Row],[Alkol]]*100)</f>
        <v>0</v>
      </c>
      <c r="O283" s="52">
        <f>(Tablo1[[#This Row],[KALAN ESANS]]/Tablo1[[#This Row],[Esans]]*0.01)*(Tablo1[[#This Row],[Su]]*100)</f>
        <v>0</v>
      </c>
      <c r="P283" s="52">
        <f>Tablo1[[#This Row],[KALAN ESANS]]+Tablo1[[#This Row],[ALKOL Mik]]+Tablo1[[#This Row],[SU Mik]]</f>
        <v>0</v>
      </c>
    </row>
    <row r="284" spans="1:16" ht="15" customHeight="1" x14ac:dyDescent="0.2">
      <c r="A284" s="19" t="s">
        <v>499</v>
      </c>
      <c r="B284" s="42"/>
      <c r="C284" s="2">
        <v>0.2</v>
      </c>
      <c r="D284" s="2">
        <v>0.02</v>
      </c>
      <c r="E284" s="8">
        <f t="shared" si="4"/>
        <v>0.78</v>
      </c>
      <c r="F284" s="5" t="s">
        <v>25</v>
      </c>
      <c r="G284" s="18" t="s">
        <v>769</v>
      </c>
      <c r="H284" s="58" t="e">
        <f>((Tablo1[[#This Row],[Esans Fiyat]]/#REF!*Tablo1[[#This Row],[Esans]]*100)+(#REF!/1000*Tablo1[[#This Row],[Su]]*100)+(#REF!/1000*Tablo1[[#This Row],[Alkol]]*100))*(#REF!/100)+#REF!</f>
        <v>#REF!</v>
      </c>
      <c r="I284" s="5" t="s">
        <v>776</v>
      </c>
      <c r="J284" s="52" t="e">
        <f>#REF!*Tablo1[[#This Row],[Esans]]</f>
        <v>#REF!</v>
      </c>
      <c r="K284" s="52" t="e">
        <f>#REF!*Tablo1[[#This Row],[Su]]</f>
        <v>#REF!</v>
      </c>
      <c r="L284" s="52" t="e">
        <f>#REF!*Tablo1[[#This Row],[Alkol]]</f>
        <v>#REF!</v>
      </c>
      <c r="M284" s="45"/>
      <c r="N284" s="52">
        <f>(Tablo1[[#This Row],[KALAN ESANS]]/Tablo1[[#This Row],[Esans]]*0.01)*(Tablo1[[#This Row],[Alkol]]*100)</f>
        <v>0</v>
      </c>
      <c r="O284" s="52">
        <f>(Tablo1[[#This Row],[KALAN ESANS]]/Tablo1[[#This Row],[Esans]]*0.01)*(Tablo1[[#This Row],[Su]]*100)</f>
        <v>0</v>
      </c>
      <c r="P284" s="52">
        <f>Tablo1[[#This Row],[KALAN ESANS]]+Tablo1[[#This Row],[ALKOL Mik]]+Tablo1[[#This Row],[SU Mik]]</f>
        <v>0</v>
      </c>
    </row>
    <row r="285" spans="1:16" ht="15" customHeight="1" x14ac:dyDescent="0.2">
      <c r="A285" s="19" t="s">
        <v>501</v>
      </c>
      <c r="B285" s="42"/>
      <c r="C285" s="2">
        <v>0.2</v>
      </c>
      <c r="D285" s="2">
        <v>0.02</v>
      </c>
      <c r="E285" s="8">
        <f t="shared" si="4"/>
        <v>0.78</v>
      </c>
      <c r="F285" s="5" t="s">
        <v>25</v>
      </c>
      <c r="G285" s="18" t="s">
        <v>769</v>
      </c>
      <c r="H285" s="58" t="e">
        <f>((Tablo1[[#This Row],[Esans Fiyat]]/#REF!*Tablo1[[#This Row],[Esans]]*100)+(#REF!/1000*Tablo1[[#This Row],[Su]]*100)+(#REF!/1000*Tablo1[[#This Row],[Alkol]]*100))*(#REF!/100)+#REF!</f>
        <v>#REF!</v>
      </c>
      <c r="I285" s="5" t="s">
        <v>776</v>
      </c>
      <c r="J285" s="52" t="e">
        <f>#REF!*Tablo1[[#This Row],[Esans]]</f>
        <v>#REF!</v>
      </c>
      <c r="K285" s="52" t="e">
        <f>#REF!*Tablo1[[#This Row],[Su]]</f>
        <v>#REF!</v>
      </c>
      <c r="L285" s="52" t="e">
        <f>#REF!*Tablo1[[#This Row],[Alkol]]</f>
        <v>#REF!</v>
      </c>
      <c r="M285" s="45"/>
      <c r="N285" s="52">
        <f>(Tablo1[[#This Row],[KALAN ESANS]]/Tablo1[[#This Row],[Esans]]*0.01)*(Tablo1[[#This Row],[Alkol]]*100)</f>
        <v>0</v>
      </c>
      <c r="O285" s="52">
        <f>(Tablo1[[#This Row],[KALAN ESANS]]/Tablo1[[#This Row],[Esans]]*0.01)*(Tablo1[[#This Row],[Su]]*100)</f>
        <v>0</v>
      </c>
      <c r="P285" s="52">
        <f>Tablo1[[#This Row],[KALAN ESANS]]+Tablo1[[#This Row],[ALKOL Mik]]+Tablo1[[#This Row],[SU Mik]]</f>
        <v>0</v>
      </c>
    </row>
    <row r="286" spans="1:16" ht="15" customHeight="1" x14ac:dyDescent="0.2">
      <c r="A286" s="19" t="s">
        <v>496</v>
      </c>
      <c r="B286" s="42"/>
      <c r="C286" s="2">
        <v>0.2</v>
      </c>
      <c r="D286" s="2">
        <v>0.02</v>
      </c>
      <c r="E286" s="8">
        <f t="shared" si="4"/>
        <v>0.78</v>
      </c>
      <c r="F286" s="5" t="s">
        <v>25</v>
      </c>
      <c r="G286" s="18" t="s">
        <v>769</v>
      </c>
      <c r="H286" s="58" t="e">
        <f>((Tablo1[[#This Row],[Esans Fiyat]]/#REF!*Tablo1[[#This Row],[Esans]]*100)+(#REF!/1000*Tablo1[[#This Row],[Su]]*100)+(#REF!/1000*Tablo1[[#This Row],[Alkol]]*100))*(#REF!/100)+#REF!</f>
        <v>#REF!</v>
      </c>
      <c r="I286" s="5" t="s">
        <v>776</v>
      </c>
      <c r="J286" s="52" t="e">
        <f>#REF!*Tablo1[[#This Row],[Esans]]</f>
        <v>#REF!</v>
      </c>
      <c r="K286" s="52" t="e">
        <f>#REF!*Tablo1[[#This Row],[Su]]</f>
        <v>#REF!</v>
      </c>
      <c r="L286" s="52" t="e">
        <f>#REF!*Tablo1[[#This Row],[Alkol]]</f>
        <v>#REF!</v>
      </c>
      <c r="M286" s="45"/>
      <c r="N286" s="52">
        <f>(Tablo1[[#This Row],[KALAN ESANS]]/Tablo1[[#This Row],[Esans]]*0.01)*(Tablo1[[#This Row],[Alkol]]*100)</f>
        <v>0</v>
      </c>
      <c r="O286" s="52">
        <f>(Tablo1[[#This Row],[KALAN ESANS]]/Tablo1[[#This Row],[Esans]]*0.01)*(Tablo1[[#This Row],[Su]]*100)</f>
        <v>0</v>
      </c>
      <c r="P286" s="52">
        <f>Tablo1[[#This Row],[KALAN ESANS]]+Tablo1[[#This Row],[ALKOL Mik]]+Tablo1[[#This Row],[SU Mik]]</f>
        <v>0</v>
      </c>
    </row>
    <row r="287" spans="1:16" ht="15" customHeight="1" x14ac:dyDescent="0.2">
      <c r="A287" s="19" t="s">
        <v>495</v>
      </c>
      <c r="B287" s="42"/>
      <c r="C287" s="2">
        <v>0.2</v>
      </c>
      <c r="D287" s="2">
        <v>0.02</v>
      </c>
      <c r="E287" s="8">
        <f t="shared" si="4"/>
        <v>0.78</v>
      </c>
      <c r="F287" s="5" t="s">
        <v>25</v>
      </c>
      <c r="G287" s="18" t="s">
        <v>769</v>
      </c>
      <c r="H287" s="58" t="e">
        <f>((Tablo1[[#This Row],[Esans Fiyat]]/#REF!*Tablo1[[#This Row],[Esans]]*100)+(#REF!/1000*Tablo1[[#This Row],[Su]]*100)+(#REF!/1000*Tablo1[[#This Row],[Alkol]]*100))*(#REF!/100)+#REF!</f>
        <v>#REF!</v>
      </c>
      <c r="I287" s="5" t="s">
        <v>776</v>
      </c>
      <c r="J287" s="52" t="e">
        <f>#REF!*Tablo1[[#This Row],[Esans]]</f>
        <v>#REF!</v>
      </c>
      <c r="K287" s="52" t="e">
        <f>#REF!*Tablo1[[#This Row],[Su]]</f>
        <v>#REF!</v>
      </c>
      <c r="L287" s="52" t="e">
        <f>#REF!*Tablo1[[#This Row],[Alkol]]</f>
        <v>#REF!</v>
      </c>
      <c r="M287" s="45"/>
      <c r="N287" s="52">
        <f>(Tablo1[[#This Row],[KALAN ESANS]]/Tablo1[[#This Row],[Esans]]*0.01)*(Tablo1[[#This Row],[Alkol]]*100)</f>
        <v>0</v>
      </c>
      <c r="O287" s="52">
        <f>(Tablo1[[#This Row],[KALAN ESANS]]/Tablo1[[#This Row],[Esans]]*0.01)*(Tablo1[[#This Row],[Su]]*100)</f>
        <v>0</v>
      </c>
      <c r="P287" s="52">
        <f>Tablo1[[#This Row],[KALAN ESANS]]+Tablo1[[#This Row],[ALKOL Mik]]+Tablo1[[#This Row],[SU Mik]]</f>
        <v>0</v>
      </c>
    </row>
    <row r="288" spans="1:16" ht="15" customHeight="1" x14ac:dyDescent="0.2">
      <c r="A288" s="19" t="s">
        <v>494</v>
      </c>
      <c r="B288" s="42"/>
      <c r="C288" s="2">
        <v>0.15</v>
      </c>
      <c r="D288" s="2">
        <v>0.02</v>
      </c>
      <c r="E288" s="8">
        <f t="shared" si="4"/>
        <v>0.83</v>
      </c>
      <c r="F288" s="5" t="s">
        <v>28</v>
      </c>
      <c r="G288" s="18" t="s">
        <v>769</v>
      </c>
      <c r="H288" s="58" t="e">
        <f>((Tablo1[[#This Row],[Esans Fiyat]]/#REF!*Tablo1[[#This Row],[Esans]]*100)+(#REF!/1000*Tablo1[[#This Row],[Su]]*100)+(#REF!/1000*Tablo1[[#This Row],[Alkol]]*100))*(#REF!/100)+#REF!</f>
        <v>#REF!</v>
      </c>
      <c r="I288" s="5" t="s">
        <v>776</v>
      </c>
      <c r="J288" s="52" t="e">
        <f>#REF!*Tablo1[[#This Row],[Esans]]</f>
        <v>#REF!</v>
      </c>
      <c r="K288" s="52" t="e">
        <f>#REF!*Tablo1[[#This Row],[Su]]</f>
        <v>#REF!</v>
      </c>
      <c r="L288" s="52" t="e">
        <f>#REF!*Tablo1[[#This Row],[Alkol]]</f>
        <v>#REF!</v>
      </c>
      <c r="M288" s="45"/>
      <c r="N288" s="52">
        <f>(Tablo1[[#This Row],[KALAN ESANS]]/Tablo1[[#This Row],[Esans]]*0.01)*(Tablo1[[#This Row],[Alkol]]*100)</f>
        <v>0</v>
      </c>
      <c r="O288" s="52">
        <f>(Tablo1[[#This Row],[KALAN ESANS]]/Tablo1[[#This Row],[Esans]]*0.01)*(Tablo1[[#This Row],[Su]]*100)</f>
        <v>0</v>
      </c>
      <c r="P288" s="52">
        <f>Tablo1[[#This Row],[KALAN ESANS]]+Tablo1[[#This Row],[ALKOL Mik]]+Tablo1[[#This Row],[SU Mik]]</f>
        <v>0</v>
      </c>
    </row>
    <row r="289" spans="1:16" ht="15" customHeight="1" x14ac:dyDescent="0.2">
      <c r="A289" s="19" t="s">
        <v>493</v>
      </c>
      <c r="B289" s="42"/>
      <c r="C289" s="2">
        <v>0.15</v>
      </c>
      <c r="D289" s="2">
        <v>0.02</v>
      </c>
      <c r="E289" s="8">
        <f t="shared" si="4"/>
        <v>0.83</v>
      </c>
      <c r="F289" s="5" t="s">
        <v>28</v>
      </c>
      <c r="G289" s="18" t="s">
        <v>769</v>
      </c>
      <c r="H289" s="58" t="e">
        <f>((Tablo1[[#This Row],[Esans Fiyat]]/#REF!*Tablo1[[#This Row],[Esans]]*100)+(#REF!/1000*Tablo1[[#This Row],[Su]]*100)+(#REF!/1000*Tablo1[[#This Row],[Alkol]]*100))*(#REF!/100)+#REF!</f>
        <v>#REF!</v>
      </c>
      <c r="I289" s="5" t="s">
        <v>776</v>
      </c>
      <c r="J289" s="52" t="e">
        <f>#REF!*Tablo1[[#This Row],[Esans]]</f>
        <v>#REF!</v>
      </c>
      <c r="K289" s="52" t="e">
        <f>#REF!*Tablo1[[#This Row],[Su]]</f>
        <v>#REF!</v>
      </c>
      <c r="L289" s="52" t="e">
        <f>#REF!*Tablo1[[#This Row],[Alkol]]</f>
        <v>#REF!</v>
      </c>
      <c r="M289" s="45"/>
      <c r="N289" s="52">
        <f>(Tablo1[[#This Row],[KALAN ESANS]]/Tablo1[[#This Row],[Esans]]*0.01)*(Tablo1[[#This Row],[Alkol]]*100)</f>
        <v>0</v>
      </c>
      <c r="O289" s="52">
        <f>(Tablo1[[#This Row],[KALAN ESANS]]/Tablo1[[#This Row],[Esans]]*0.01)*(Tablo1[[#This Row],[Su]]*100)</f>
        <v>0</v>
      </c>
      <c r="P289" s="52">
        <f>Tablo1[[#This Row],[KALAN ESANS]]+Tablo1[[#This Row],[ALKOL Mik]]+Tablo1[[#This Row],[SU Mik]]</f>
        <v>0</v>
      </c>
    </row>
    <row r="290" spans="1:16" ht="15" customHeight="1" x14ac:dyDescent="0.2">
      <c r="A290" s="19" t="s">
        <v>492</v>
      </c>
      <c r="B290" s="42"/>
      <c r="C290" s="2">
        <v>0.15</v>
      </c>
      <c r="D290" s="2">
        <v>0.02</v>
      </c>
      <c r="E290" s="8">
        <f t="shared" si="4"/>
        <v>0.83</v>
      </c>
      <c r="F290" s="5" t="s">
        <v>28</v>
      </c>
      <c r="G290" s="18" t="s">
        <v>769</v>
      </c>
      <c r="H290" s="58" t="e">
        <f>((Tablo1[[#This Row],[Esans Fiyat]]/#REF!*Tablo1[[#This Row],[Esans]]*100)+(#REF!/1000*Tablo1[[#This Row],[Su]]*100)+(#REF!/1000*Tablo1[[#This Row],[Alkol]]*100))*(#REF!/100)+#REF!</f>
        <v>#REF!</v>
      </c>
      <c r="I290" s="5" t="s">
        <v>776</v>
      </c>
      <c r="J290" s="52" t="e">
        <f>#REF!*Tablo1[[#This Row],[Esans]]</f>
        <v>#REF!</v>
      </c>
      <c r="K290" s="52" t="e">
        <f>#REF!*Tablo1[[#This Row],[Su]]</f>
        <v>#REF!</v>
      </c>
      <c r="L290" s="52" t="e">
        <f>#REF!*Tablo1[[#This Row],[Alkol]]</f>
        <v>#REF!</v>
      </c>
      <c r="M290" s="45"/>
      <c r="N290" s="52">
        <f>(Tablo1[[#This Row],[KALAN ESANS]]/Tablo1[[#This Row],[Esans]]*0.01)*(Tablo1[[#This Row],[Alkol]]*100)</f>
        <v>0</v>
      </c>
      <c r="O290" s="52">
        <f>(Tablo1[[#This Row],[KALAN ESANS]]/Tablo1[[#This Row],[Esans]]*0.01)*(Tablo1[[#This Row],[Su]]*100)</f>
        <v>0</v>
      </c>
      <c r="P290" s="52">
        <f>Tablo1[[#This Row],[KALAN ESANS]]+Tablo1[[#This Row],[ALKOL Mik]]+Tablo1[[#This Row],[SU Mik]]</f>
        <v>0</v>
      </c>
    </row>
    <row r="291" spans="1:16" ht="15" customHeight="1" x14ac:dyDescent="0.2">
      <c r="A291" s="19" t="s">
        <v>488</v>
      </c>
      <c r="B291" s="42"/>
      <c r="C291" s="2">
        <v>0.2</v>
      </c>
      <c r="D291" s="2">
        <v>0.02</v>
      </c>
      <c r="E291" s="8">
        <f t="shared" si="4"/>
        <v>0.78</v>
      </c>
      <c r="F291" s="5" t="s">
        <v>25</v>
      </c>
      <c r="G291" s="18" t="s">
        <v>769</v>
      </c>
      <c r="H291" s="58" t="e">
        <f>((Tablo1[[#This Row],[Esans Fiyat]]/#REF!*Tablo1[[#This Row],[Esans]]*100)+(#REF!/1000*Tablo1[[#This Row],[Su]]*100)+(#REF!/1000*Tablo1[[#This Row],[Alkol]]*100))*(#REF!/100)+#REF!</f>
        <v>#REF!</v>
      </c>
      <c r="I291" s="5" t="s">
        <v>776</v>
      </c>
      <c r="J291" s="52" t="e">
        <f>#REF!*Tablo1[[#This Row],[Esans]]</f>
        <v>#REF!</v>
      </c>
      <c r="K291" s="52" t="e">
        <f>#REF!*Tablo1[[#This Row],[Su]]</f>
        <v>#REF!</v>
      </c>
      <c r="L291" s="52" t="e">
        <f>#REF!*Tablo1[[#This Row],[Alkol]]</f>
        <v>#REF!</v>
      </c>
      <c r="M291" s="45"/>
      <c r="N291" s="52">
        <f>(Tablo1[[#This Row],[KALAN ESANS]]/Tablo1[[#This Row],[Esans]]*0.01)*(Tablo1[[#This Row],[Alkol]]*100)</f>
        <v>0</v>
      </c>
      <c r="O291" s="52">
        <f>(Tablo1[[#This Row],[KALAN ESANS]]/Tablo1[[#This Row],[Esans]]*0.01)*(Tablo1[[#This Row],[Su]]*100)</f>
        <v>0</v>
      </c>
      <c r="P291" s="52">
        <f>Tablo1[[#This Row],[KALAN ESANS]]+Tablo1[[#This Row],[ALKOL Mik]]+Tablo1[[#This Row],[SU Mik]]</f>
        <v>0</v>
      </c>
    </row>
    <row r="292" spans="1:16" ht="15" customHeight="1" x14ac:dyDescent="0.2">
      <c r="A292" s="19" t="s">
        <v>491</v>
      </c>
      <c r="B292" s="42"/>
      <c r="C292" s="2">
        <v>0.2</v>
      </c>
      <c r="D292" s="2">
        <v>0.02</v>
      </c>
      <c r="E292" s="8">
        <f t="shared" si="4"/>
        <v>0.78</v>
      </c>
      <c r="F292" s="5" t="s">
        <v>25</v>
      </c>
      <c r="G292" s="18" t="s">
        <v>769</v>
      </c>
      <c r="H292" s="58" t="e">
        <f>((Tablo1[[#This Row],[Esans Fiyat]]/#REF!*Tablo1[[#This Row],[Esans]]*100)+(#REF!/1000*Tablo1[[#This Row],[Su]]*100)+(#REF!/1000*Tablo1[[#This Row],[Alkol]]*100))*(#REF!/100)+#REF!</f>
        <v>#REF!</v>
      </c>
      <c r="I292" s="5" t="s">
        <v>776</v>
      </c>
      <c r="J292" s="52" t="e">
        <f>#REF!*Tablo1[[#This Row],[Esans]]</f>
        <v>#REF!</v>
      </c>
      <c r="K292" s="52" t="e">
        <f>#REF!*Tablo1[[#This Row],[Su]]</f>
        <v>#REF!</v>
      </c>
      <c r="L292" s="52" t="e">
        <f>#REF!*Tablo1[[#This Row],[Alkol]]</f>
        <v>#REF!</v>
      </c>
      <c r="M292" s="45"/>
      <c r="N292" s="52">
        <f>(Tablo1[[#This Row],[KALAN ESANS]]/Tablo1[[#This Row],[Esans]]*0.01)*(Tablo1[[#This Row],[Alkol]]*100)</f>
        <v>0</v>
      </c>
      <c r="O292" s="52">
        <f>(Tablo1[[#This Row],[KALAN ESANS]]/Tablo1[[#This Row],[Esans]]*0.01)*(Tablo1[[#This Row],[Su]]*100)</f>
        <v>0</v>
      </c>
      <c r="P292" s="52">
        <f>Tablo1[[#This Row],[KALAN ESANS]]+Tablo1[[#This Row],[ALKOL Mik]]+Tablo1[[#This Row],[SU Mik]]</f>
        <v>0</v>
      </c>
    </row>
    <row r="293" spans="1:16" ht="15" customHeight="1" x14ac:dyDescent="0.2">
      <c r="A293" s="19" t="s">
        <v>490</v>
      </c>
      <c r="B293" s="42"/>
      <c r="C293" s="2">
        <v>0.18</v>
      </c>
      <c r="D293" s="2">
        <v>0.02</v>
      </c>
      <c r="E293" s="8">
        <f t="shared" si="4"/>
        <v>0.8</v>
      </c>
      <c r="F293" s="5" t="s">
        <v>25</v>
      </c>
      <c r="G293" s="18" t="s">
        <v>769</v>
      </c>
      <c r="H293" s="58" t="e">
        <f>((Tablo1[[#This Row],[Esans Fiyat]]/#REF!*Tablo1[[#This Row],[Esans]]*100)+(#REF!/1000*Tablo1[[#This Row],[Su]]*100)+(#REF!/1000*Tablo1[[#This Row],[Alkol]]*100))*(#REF!/100)+#REF!</f>
        <v>#REF!</v>
      </c>
      <c r="I293" s="5" t="s">
        <v>772</v>
      </c>
      <c r="J293" s="52" t="e">
        <f>#REF!*Tablo1[[#This Row],[Esans]]</f>
        <v>#REF!</v>
      </c>
      <c r="K293" s="52" t="e">
        <f>#REF!*Tablo1[[#This Row],[Su]]</f>
        <v>#REF!</v>
      </c>
      <c r="L293" s="52" t="e">
        <f>#REF!*Tablo1[[#This Row],[Alkol]]</f>
        <v>#REF!</v>
      </c>
      <c r="M293" s="45"/>
      <c r="N293" s="52">
        <f>(Tablo1[[#This Row],[KALAN ESANS]]/Tablo1[[#This Row],[Esans]]*0.01)*(Tablo1[[#This Row],[Alkol]]*100)</f>
        <v>0</v>
      </c>
      <c r="O293" s="52">
        <f>(Tablo1[[#This Row],[KALAN ESANS]]/Tablo1[[#This Row],[Esans]]*0.01)*(Tablo1[[#This Row],[Su]]*100)</f>
        <v>0</v>
      </c>
      <c r="P293" s="52">
        <f>Tablo1[[#This Row],[KALAN ESANS]]+Tablo1[[#This Row],[ALKOL Mik]]+Tablo1[[#This Row],[SU Mik]]</f>
        <v>0</v>
      </c>
    </row>
    <row r="294" spans="1:16" ht="15" customHeight="1" x14ac:dyDescent="0.2">
      <c r="A294" s="19" t="s">
        <v>489</v>
      </c>
      <c r="B294" s="42"/>
      <c r="C294" s="2">
        <v>0.2</v>
      </c>
      <c r="D294" s="2">
        <v>0.02</v>
      </c>
      <c r="E294" s="8">
        <f t="shared" si="4"/>
        <v>0.78</v>
      </c>
      <c r="F294" s="5" t="s">
        <v>25</v>
      </c>
      <c r="G294" s="18" t="s">
        <v>769</v>
      </c>
      <c r="H294" s="58" t="e">
        <f>((Tablo1[[#This Row],[Esans Fiyat]]/#REF!*Tablo1[[#This Row],[Esans]]*100)+(#REF!/1000*Tablo1[[#This Row],[Su]]*100)+(#REF!/1000*Tablo1[[#This Row],[Alkol]]*100))*(#REF!/100)+#REF!</f>
        <v>#REF!</v>
      </c>
      <c r="I294" s="5" t="s">
        <v>776</v>
      </c>
      <c r="J294" s="52" t="e">
        <f>#REF!*Tablo1[[#This Row],[Esans]]</f>
        <v>#REF!</v>
      </c>
      <c r="K294" s="52" t="e">
        <f>#REF!*Tablo1[[#This Row],[Su]]</f>
        <v>#REF!</v>
      </c>
      <c r="L294" s="52" t="e">
        <f>#REF!*Tablo1[[#This Row],[Alkol]]</f>
        <v>#REF!</v>
      </c>
      <c r="M294" s="45"/>
      <c r="N294" s="52">
        <f>(Tablo1[[#This Row],[KALAN ESANS]]/Tablo1[[#This Row],[Esans]]*0.01)*(Tablo1[[#This Row],[Alkol]]*100)</f>
        <v>0</v>
      </c>
      <c r="O294" s="52">
        <f>(Tablo1[[#This Row],[KALAN ESANS]]/Tablo1[[#This Row],[Esans]]*0.01)*(Tablo1[[#This Row],[Su]]*100)</f>
        <v>0</v>
      </c>
      <c r="P294" s="52">
        <f>Tablo1[[#This Row],[KALAN ESANS]]+Tablo1[[#This Row],[ALKOL Mik]]+Tablo1[[#This Row],[SU Mik]]</f>
        <v>0</v>
      </c>
    </row>
    <row r="295" spans="1:16" ht="15" customHeight="1" x14ac:dyDescent="0.2">
      <c r="A295" s="19" t="s">
        <v>288</v>
      </c>
      <c r="B295" s="42"/>
      <c r="C295" s="2">
        <v>0.15</v>
      </c>
      <c r="D295" s="2">
        <v>0.02</v>
      </c>
      <c r="E295" s="8">
        <f t="shared" si="4"/>
        <v>0.83</v>
      </c>
      <c r="F295" s="5" t="s">
        <v>28</v>
      </c>
      <c r="G295" s="18" t="s">
        <v>769</v>
      </c>
      <c r="H295" s="58" t="e">
        <f>((Tablo1[[#This Row],[Esans Fiyat]]/#REF!*Tablo1[[#This Row],[Esans]]*100)+(#REF!/1000*Tablo1[[#This Row],[Su]]*100)+(#REF!/1000*Tablo1[[#This Row],[Alkol]]*100))*(#REF!/100)+#REF!</f>
        <v>#REF!</v>
      </c>
      <c r="I295" s="5" t="s">
        <v>776</v>
      </c>
      <c r="J295" s="52" t="e">
        <f>#REF!*Tablo1[[#This Row],[Esans]]</f>
        <v>#REF!</v>
      </c>
      <c r="K295" s="52" t="e">
        <f>#REF!*Tablo1[[#This Row],[Su]]</f>
        <v>#REF!</v>
      </c>
      <c r="L295" s="52" t="e">
        <f>#REF!*Tablo1[[#This Row],[Alkol]]</f>
        <v>#REF!</v>
      </c>
      <c r="M295" s="45"/>
      <c r="N295" s="52">
        <f>(Tablo1[[#This Row],[KALAN ESANS]]/Tablo1[[#This Row],[Esans]]*0.01)*(Tablo1[[#This Row],[Alkol]]*100)</f>
        <v>0</v>
      </c>
      <c r="O295" s="52">
        <f>(Tablo1[[#This Row],[KALAN ESANS]]/Tablo1[[#This Row],[Esans]]*0.01)*(Tablo1[[#This Row],[Su]]*100)</f>
        <v>0</v>
      </c>
      <c r="P295" s="52">
        <f>Tablo1[[#This Row],[KALAN ESANS]]+Tablo1[[#This Row],[ALKOL Mik]]+Tablo1[[#This Row],[SU Mik]]</f>
        <v>0</v>
      </c>
    </row>
    <row r="296" spans="1:16" ht="15" customHeight="1" x14ac:dyDescent="0.2">
      <c r="A296" s="19" t="s">
        <v>287</v>
      </c>
      <c r="B296" s="42"/>
      <c r="C296" s="2">
        <v>0.15</v>
      </c>
      <c r="D296" s="2">
        <v>0.02</v>
      </c>
      <c r="E296" s="8">
        <f t="shared" si="4"/>
        <v>0.83</v>
      </c>
      <c r="F296" s="5" t="s">
        <v>28</v>
      </c>
      <c r="G296" s="18" t="s">
        <v>769</v>
      </c>
      <c r="H296" s="58" t="e">
        <f>((Tablo1[[#This Row],[Esans Fiyat]]/#REF!*Tablo1[[#This Row],[Esans]]*100)+(#REF!/1000*Tablo1[[#This Row],[Su]]*100)+(#REF!/1000*Tablo1[[#This Row],[Alkol]]*100))*(#REF!/100)+#REF!</f>
        <v>#REF!</v>
      </c>
      <c r="I296" s="5" t="s">
        <v>776</v>
      </c>
      <c r="J296" s="52" t="e">
        <f>#REF!*Tablo1[[#This Row],[Esans]]</f>
        <v>#REF!</v>
      </c>
      <c r="K296" s="52" t="e">
        <f>#REF!*Tablo1[[#This Row],[Su]]</f>
        <v>#REF!</v>
      </c>
      <c r="L296" s="52" t="e">
        <f>#REF!*Tablo1[[#This Row],[Alkol]]</f>
        <v>#REF!</v>
      </c>
      <c r="M296" s="45"/>
      <c r="N296" s="52">
        <f>(Tablo1[[#This Row],[KALAN ESANS]]/Tablo1[[#This Row],[Esans]]*0.01)*(Tablo1[[#This Row],[Alkol]]*100)</f>
        <v>0</v>
      </c>
      <c r="O296" s="52">
        <f>(Tablo1[[#This Row],[KALAN ESANS]]/Tablo1[[#This Row],[Esans]]*0.01)*(Tablo1[[#This Row],[Su]]*100)</f>
        <v>0</v>
      </c>
      <c r="P296" s="52">
        <f>Tablo1[[#This Row],[KALAN ESANS]]+Tablo1[[#This Row],[ALKOL Mik]]+Tablo1[[#This Row],[SU Mik]]</f>
        <v>0</v>
      </c>
    </row>
    <row r="297" spans="1:16" ht="15" customHeight="1" x14ac:dyDescent="0.2">
      <c r="A297" s="19" t="s">
        <v>487</v>
      </c>
      <c r="B297" s="42"/>
      <c r="C297" s="2">
        <v>0.2</v>
      </c>
      <c r="D297" s="2">
        <v>0.02</v>
      </c>
      <c r="E297" s="8">
        <f t="shared" si="4"/>
        <v>0.78</v>
      </c>
      <c r="F297" s="5" t="s">
        <v>25</v>
      </c>
      <c r="G297" s="18" t="s">
        <v>769</v>
      </c>
      <c r="H297" s="58" t="e">
        <f>((Tablo1[[#This Row],[Esans Fiyat]]/#REF!*Tablo1[[#This Row],[Esans]]*100)+(#REF!/1000*Tablo1[[#This Row],[Su]]*100)+(#REF!/1000*Tablo1[[#This Row],[Alkol]]*100))*(#REF!/100)+#REF!</f>
        <v>#REF!</v>
      </c>
      <c r="I297" s="5" t="s">
        <v>776</v>
      </c>
      <c r="J297" s="52" t="e">
        <f>#REF!*Tablo1[[#This Row],[Esans]]</f>
        <v>#REF!</v>
      </c>
      <c r="K297" s="52" t="e">
        <f>#REF!*Tablo1[[#This Row],[Su]]</f>
        <v>#REF!</v>
      </c>
      <c r="L297" s="52" t="e">
        <f>#REF!*Tablo1[[#This Row],[Alkol]]</f>
        <v>#REF!</v>
      </c>
      <c r="M297" s="45"/>
      <c r="N297" s="52">
        <f>(Tablo1[[#This Row],[KALAN ESANS]]/Tablo1[[#This Row],[Esans]]*0.01)*(Tablo1[[#This Row],[Alkol]]*100)</f>
        <v>0</v>
      </c>
      <c r="O297" s="52">
        <f>(Tablo1[[#This Row],[KALAN ESANS]]/Tablo1[[#This Row],[Esans]]*0.01)*(Tablo1[[#This Row],[Su]]*100)</f>
        <v>0</v>
      </c>
      <c r="P297" s="52">
        <f>Tablo1[[#This Row],[KALAN ESANS]]+Tablo1[[#This Row],[ALKOL Mik]]+Tablo1[[#This Row],[SU Mik]]</f>
        <v>0</v>
      </c>
    </row>
    <row r="298" spans="1:16" ht="15" customHeight="1" x14ac:dyDescent="0.2">
      <c r="A298" s="19" t="s">
        <v>484</v>
      </c>
      <c r="B298" s="42"/>
      <c r="C298" s="2">
        <v>0.2</v>
      </c>
      <c r="D298" s="2">
        <v>0.02</v>
      </c>
      <c r="E298" s="8">
        <f t="shared" si="4"/>
        <v>0.78</v>
      </c>
      <c r="F298" s="5" t="s">
        <v>25</v>
      </c>
      <c r="G298" s="18" t="s">
        <v>769</v>
      </c>
      <c r="H298" s="58" t="e">
        <f>((Tablo1[[#This Row],[Esans Fiyat]]/#REF!*Tablo1[[#This Row],[Esans]]*100)+(#REF!/1000*Tablo1[[#This Row],[Su]]*100)+(#REF!/1000*Tablo1[[#This Row],[Alkol]]*100))*(#REF!/100)+#REF!</f>
        <v>#REF!</v>
      </c>
      <c r="I298" s="5" t="s">
        <v>776</v>
      </c>
      <c r="J298" s="52" t="e">
        <f>#REF!*Tablo1[[#This Row],[Esans]]</f>
        <v>#REF!</v>
      </c>
      <c r="K298" s="52" t="e">
        <f>#REF!*Tablo1[[#This Row],[Su]]</f>
        <v>#REF!</v>
      </c>
      <c r="L298" s="52" t="e">
        <f>#REF!*Tablo1[[#This Row],[Alkol]]</f>
        <v>#REF!</v>
      </c>
      <c r="M298" s="45"/>
      <c r="N298" s="52">
        <f>(Tablo1[[#This Row],[KALAN ESANS]]/Tablo1[[#This Row],[Esans]]*0.01)*(Tablo1[[#This Row],[Alkol]]*100)</f>
        <v>0</v>
      </c>
      <c r="O298" s="52">
        <f>(Tablo1[[#This Row],[KALAN ESANS]]/Tablo1[[#This Row],[Esans]]*0.01)*(Tablo1[[#This Row],[Su]]*100)</f>
        <v>0</v>
      </c>
      <c r="P298" s="52">
        <f>Tablo1[[#This Row],[KALAN ESANS]]+Tablo1[[#This Row],[ALKOL Mik]]+Tablo1[[#This Row],[SU Mik]]</f>
        <v>0</v>
      </c>
    </row>
    <row r="299" spans="1:16" ht="15" customHeight="1" x14ac:dyDescent="0.2">
      <c r="A299" s="19" t="s">
        <v>485</v>
      </c>
      <c r="B299" s="42"/>
      <c r="C299" s="2">
        <v>0.2</v>
      </c>
      <c r="D299" s="2">
        <v>0.02</v>
      </c>
      <c r="E299" s="8">
        <f t="shared" si="4"/>
        <v>0.78</v>
      </c>
      <c r="F299" s="5" t="s">
        <v>25</v>
      </c>
      <c r="G299" s="18" t="s">
        <v>769</v>
      </c>
      <c r="H299" s="58" t="e">
        <f>((Tablo1[[#This Row],[Esans Fiyat]]/#REF!*Tablo1[[#This Row],[Esans]]*100)+(#REF!/1000*Tablo1[[#This Row],[Su]]*100)+(#REF!/1000*Tablo1[[#This Row],[Alkol]]*100))*(#REF!/100)+#REF!</f>
        <v>#REF!</v>
      </c>
      <c r="I299" s="5" t="s">
        <v>772</v>
      </c>
      <c r="J299" s="52" t="e">
        <f>#REF!*Tablo1[[#This Row],[Esans]]</f>
        <v>#REF!</v>
      </c>
      <c r="K299" s="52" t="e">
        <f>#REF!*Tablo1[[#This Row],[Su]]</f>
        <v>#REF!</v>
      </c>
      <c r="L299" s="52" t="e">
        <f>#REF!*Tablo1[[#This Row],[Alkol]]</f>
        <v>#REF!</v>
      </c>
      <c r="M299" s="45"/>
      <c r="N299" s="52">
        <f>(Tablo1[[#This Row],[KALAN ESANS]]/Tablo1[[#This Row],[Esans]]*0.01)*(Tablo1[[#This Row],[Alkol]]*100)</f>
        <v>0</v>
      </c>
      <c r="O299" s="52">
        <f>(Tablo1[[#This Row],[KALAN ESANS]]/Tablo1[[#This Row],[Esans]]*0.01)*(Tablo1[[#This Row],[Su]]*100)</f>
        <v>0</v>
      </c>
      <c r="P299" s="52">
        <f>Tablo1[[#This Row],[KALAN ESANS]]+Tablo1[[#This Row],[ALKOL Mik]]+Tablo1[[#This Row],[SU Mik]]</f>
        <v>0</v>
      </c>
    </row>
    <row r="300" spans="1:16" ht="15" customHeight="1" x14ac:dyDescent="0.2">
      <c r="A300" s="19" t="s">
        <v>486</v>
      </c>
      <c r="B300" s="42"/>
      <c r="C300" s="2">
        <v>0.15</v>
      </c>
      <c r="D300" s="2">
        <v>0.02</v>
      </c>
      <c r="E300" s="8">
        <f t="shared" si="4"/>
        <v>0.83</v>
      </c>
      <c r="F300" s="5" t="s">
        <v>28</v>
      </c>
      <c r="G300" s="18" t="s">
        <v>769</v>
      </c>
      <c r="H300" s="58" t="e">
        <f>((Tablo1[[#This Row],[Esans Fiyat]]/#REF!*Tablo1[[#This Row],[Esans]]*100)+(#REF!/1000*Tablo1[[#This Row],[Su]]*100)+(#REF!/1000*Tablo1[[#This Row],[Alkol]]*100))*(#REF!/100)+#REF!</f>
        <v>#REF!</v>
      </c>
      <c r="I300" s="5" t="s">
        <v>776</v>
      </c>
      <c r="J300" s="52" t="e">
        <f>#REF!*Tablo1[[#This Row],[Esans]]</f>
        <v>#REF!</v>
      </c>
      <c r="K300" s="52" t="e">
        <f>#REF!*Tablo1[[#This Row],[Su]]</f>
        <v>#REF!</v>
      </c>
      <c r="L300" s="52" t="e">
        <f>#REF!*Tablo1[[#This Row],[Alkol]]</f>
        <v>#REF!</v>
      </c>
      <c r="M300" s="45"/>
      <c r="N300" s="52">
        <f>(Tablo1[[#This Row],[KALAN ESANS]]/Tablo1[[#This Row],[Esans]]*0.01)*(Tablo1[[#This Row],[Alkol]]*100)</f>
        <v>0</v>
      </c>
      <c r="O300" s="52">
        <f>(Tablo1[[#This Row],[KALAN ESANS]]/Tablo1[[#This Row],[Esans]]*0.01)*(Tablo1[[#This Row],[Su]]*100)</f>
        <v>0</v>
      </c>
      <c r="P300" s="52">
        <f>Tablo1[[#This Row],[KALAN ESANS]]+Tablo1[[#This Row],[ALKOL Mik]]+Tablo1[[#This Row],[SU Mik]]</f>
        <v>0</v>
      </c>
    </row>
    <row r="301" spans="1:16" ht="15" customHeight="1" x14ac:dyDescent="0.2">
      <c r="A301" s="19" t="s">
        <v>481</v>
      </c>
      <c r="B301" s="42"/>
      <c r="C301" s="2">
        <v>0.15</v>
      </c>
      <c r="D301" s="2">
        <v>0.02</v>
      </c>
      <c r="E301" s="8">
        <f t="shared" si="4"/>
        <v>0.83</v>
      </c>
      <c r="F301" s="5" t="s">
        <v>25</v>
      </c>
      <c r="G301" s="18" t="s">
        <v>769</v>
      </c>
      <c r="H301" s="58" t="e">
        <f>((Tablo1[[#This Row],[Esans Fiyat]]/#REF!*Tablo1[[#This Row],[Esans]]*100)+(#REF!/1000*Tablo1[[#This Row],[Su]]*100)+(#REF!/1000*Tablo1[[#This Row],[Alkol]]*100))*(#REF!/100)+#REF!</f>
        <v>#REF!</v>
      </c>
      <c r="I301" s="5" t="s">
        <v>772</v>
      </c>
      <c r="J301" s="52" t="e">
        <f>#REF!*Tablo1[[#This Row],[Esans]]</f>
        <v>#REF!</v>
      </c>
      <c r="K301" s="52" t="e">
        <f>#REF!*Tablo1[[#This Row],[Su]]</f>
        <v>#REF!</v>
      </c>
      <c r="L301" s="52" t="e">
        <f>#REF!*Tablo1[[#This Row],[Alkol]]</f>
        <v>#REF!</v>
      </c>
      <c r="M301" s="45"/>
      <c r="N301" s="52">
        <f>(Tablo1[[#This Row],[KALAN ESANS]]/Tablo1[[#This Row],[Esans]]*0.01)*(Tablo1[[#This Row],[Alkol]]*100)</f>
        <v>0</v>
      </c>
      <c r="O301" s="52">
        <f>(Tablo1[[#This Row],[KALAN ESANS]]/Tablo1[[#This Row],[Esans]]*0.01)*(Tablo1[[#This Row],[Su]]*100)</f>
        <v>0</v>
      </c>
      <c r="P301" s="52">
        <f>Tablo1[[#This Row],[KALAN ESANS]]+Tablo1[[#This Row],[ALKOL Mik]]+Tablo1[[#This Row],[SU Mik]]</f>
        <v>0</v>
      </c>
    </row>
    <row r="302" spans="1:16" ht="15" customHeight="1" x14ac:dyDescent="0.2">
      <c r="A302" s="19" t="s">
        <v>482</v>
      </c>
      <c r="B302" s="42"/>
      <c r="C302" s="2">
        <v>0.15</v>
      </c>
      <c r="D302" s="2">
        <v>0.02</v>
      </c>
      <c r="E302" s="8">
        <f t="shared" si="4"/>
        <v>0.83</v>
      </c>
      <c r="F302" s="5" t="s">
        <v>28</v>
      </c>
      <c r="G302" s="18" t="s">
        <v>769</v>
      </c>
      <c r="H302" s="58" t="e">
        <f>((Tablo1[[#This Row],[Esans Fiyat]]/#REF!*Tablo1[[#This Row],[Esans]]*100)+(#REF!/1000*Tablo1[[#This Row],[Su]]*100)+(#REF!/1000*Tablo1[[#This Row],[Alkol]]*100))*(#REF!/100)+#REF!</f>
        <v>#REF!</v>
      </c>
      <c r="I302" s="5" t="s">
        <v>776</v>
      </c>
      <c r="J302" s="52" t="e">
        <f>#REF!*Tablo1[[#This Row],[Esans]]</f>
        <v>#REF!</v>
      </c>
      <c r="K302" s="52" t="e">
        <f>#REF!*Tablo1[[#This Row],[Su]]</f>
        <v>#REF!</v>
      </c>
      <c r="L302" s="52" t="e">
        <f>#REF!*Tablo1[[#This Row],[Alkol]]</f>
        <v>#REF!</v>
      </c>
      <c r="M302" s="45"/>
      <c r="N302" s="52">
        <f>(Tablo1[[#This Row],[KALAN ESANS]]/Tablo1[[#This Row],[Esans]]*0.01)*(Tablo1[[#This Row],[Alkol]]*100)</f>
        <v>0</v>
      </c>
      <c r="O302" s="52">
        <f>(Tablo1[[#This Row],[KALAN ESANS]]/Tablo1[[#This Row],[Esans]]*0.01)*(Tablo1[[#This Row],[Su]]*100)</f>
        <v>0</v>
      </c>
      <c r="P302" s="52">
        <f>Tablo1[[#This Row],[KALAN ESANS]]+Tablo1[[#This Row],[ALKOL Mik]]+Tablo1[[#This Row],[SU Mik]]</f>
        <v>0</v>
      </c>
    </row>
    <row r="303" spans="1:16" ht="15" customHeight="1" x14ac:dyDescent="0.2">
      <c r="A303" s="19" t="s">
        <v>480</v>
      </c>
      <c r="B303" s="42"/>
      <c r="C303" s="2">
        <v>0.2</v>
      </c>
      <c r="D303" s="2">
        <v>0.02</v>
      </c>
      <c r="E303" s="8">
        <f t="shared" si="4"/>
        <v>0.78</v>
      </c>
      <c r="F303" s="5" t="s">
        <v>25</v>
      </c>
      <c r="G303" s="18" t="s">
        <v>769</v>
      </c>
      <c r="H303" s="58" t="e">
        <f>((Tablo1[[#This Row],[Esans Fiyat]]/#REF!*Tablo1[[#This Row],[Esans]]*100)+(#REF!/1000*Tablo1[[#This Row],[Su]]*100)+(#REF!/1000*Tablo1[[#This Row],[Alkol]]*100))*(#REF!/100)+#REF!</f>
        <v>#REF!</v>
      </c>
      <c r="I303" s="5" t="s">
        <v>776</v>
      </c>
      <c r="J303" s="52" t="e">
        <f>#REF!*Tablo1[[#This Row],[Esans]]</f>
        <v>#REF!</v>
      </c>
      <c r="K303" s="52" t="e">
        <f>#REF!*Tablo1[[#This Row],[Su]]</f>
        <v>#REF!</v>
      </c>
      <c r="L303" s="52" t="e">
        <f>#REF!*Tablo1[[#This Row],[Alkol]]</f>
        <v>#REF!</v>
      </c>
      <c r="M303" s="45"/>
      <c r="N303" s="52">
        <f>(Tablo1[[#This Row],[KALAN ESANS]]/Tablo1[[#This Row],[Esans]]*0.01)*(Tablo1[[#This Row],[Alkol]]*100)</f>
        <v>0</v>
      </c>
      <c r="O303" s="52">
        <f>(Tablo1[[#This Row],[KALAN ESANS]]/Tablo1[[#This Row],[Esans]]*0.01)*(Tablo1[[#This Row],[Su]]*100)</f>
        <v>0</v>
      </c>
      <c r="P303" s="52">
        <f>Tablo1[[#This Row],[KALAN ESANS]]+Tablo1[[#This Row],[ALKOL Mik]]+Tablo1[[#This Row],[SU Mik]]</f>
        <v>0</v>
      </c>
    </row>
    <row r="304" spans="1:16" ht="15" customHeight="1" x14ac:dyDescent="0.2">
      <c r="A304" s="19" t="s">
        <v>483</v>
      </c>
      <c r="B304" s="42"/>
      <c r="C304" s="2">
        <v>0.15</v>
      </c>
      <c r="D304" s="2">
        <v>0.02</v>
      </c>
      <c r="E304" s="8">
        <f t="shared" si="4"/>
        <v>0.83</v>
      </c>
      <c r="F304" s="5" t="s">
        <v>28</v>
      </c>
      <c r="G304" s="18" t="s">
        <v>769</v>
      </c>
      <c r="H304" s="58" t="e">
        <f>((Tablo1[[#This Row],[Esans Fiyat]]/#REF!*Tablo1[[#This Row],[Esans]]*100)+(#REF!/1000*Tablo1[[#This Row],[Su]]*100)+(#REF!/1000*Tablo1[[#This Row],[Alkol]]*100))*(#REF!/100)+#REF!</f>
        <v>#REF!</v>
      </c>
      <c r="I304" s="5" t="s">
        <v>776</v>
      </c>
      <c r="J304" s="52" t="e">
        <f>#REF!*Tablo1[[#This Row],[Esans]]</f>
        <v>#REF!</v>
      </c>
      <c r="K304" s="52" t="e">
        <f>#REF!*Tablo1[[#This Row],[Su]]</f>
        <v>#REF!</v>
      </c>
      <c r="L304" s="52" t="e">
        <f>#REF!*Tablo1[[#This Row],[Alkol]]</f>
        <v>#REF!</v>
      </c>
      <c r="M304" s="45"/>
      <c r="N304" s="52">
        <f>(Tablo1[[#This Row],[KALAN ESANS]]/Tablo1[[#This Row],[Esans]]*0.01)*(Tablo1[[#This Row],[Alkol]]*100)</f>
        <v>0</v>
      </c>
      <c r="O304" s="52">
        <f>(Tablo1[[#This Row],[KALAN ESANS]]/Tablo1[[#This Row],[Esans]]*0.01)*(Tablo1[[#This Row],[Su]]*100)</f>
        <v>0</v>
      </c>
      <c r="P304" s="52">
        <f>Tablo1[[#This Row],[KALAN ESANS]]+Tablo1[[#This Row],[ALKOL Mik]]+Tablo1[[#This Row],[SU Mik]]</f>
        <v>0</v>
      </c>
    </row>
    <row r="305" spans="1:16" ht="15" customHeight="1" x14ac:dyDescent="0.2">
      <c r="A305" s="19" t="s">
        <v>285</v>
      </c>
      <c r="B305" s="42"/>
      <c r="C305" s="2">
        <v>0.2</v>
      </c>
      <c r="D305" s="2">
        <v>0.02</v>
      </c>
      <c r="E305" s="8">
        <f t="shared" si="4"/>
        <v>0.78</v>
      </c>
      <c r="F305" s="5" t="s">
        <v>25</v>
      </c>
      <c r="G305" s="18" t="s">
        <v>769</v>
      </c>
      <c r="H305" s="58" t="e">
        <f>((Tablo1[[#This Row],[Esans Fiyat]]/#REF!*Tablo1[[#This Row],[Esans]]*100)+(#REF!/1000*Tablo1[[#This Row],[Su]]*100)+(#REF!/1000*Tablo1[[#This Row],[Alkol]]*100))*(#REF!/100)+#REF!</f>
        <v>#REF!</v>
      </c>
      <c r="I305" s="5" t="s">
        <v>776</v>
      </c>
      <c r="J305" s="52" t="e">
        <f>#REF!*Tablo1[[#This Row],[Esans]]</f>
        <v>#REF!</v>
      </c>
      <c r="K305" s="52" t="e">
        <f>#REF!*Tablo1[[#This Row],[Su]]</f>
        <v>#REF!</v>
      </c>
      <c r="L305" s="52" t="e">
        <f>#REF!*Tablo1[[#This Row],[Alkol]]</f>
        <v>#REF!</v>
      </c>
      <c r="M305" s="45"/>
      <c r="N305" s="52">
        <f>(Tablo1[[#This Row],[KALAN ESANS]]/Tablo1[[#This Row],[Esans]]*0.01)*(Tablo1[[#This Row],[Alkol]]*100)</f>
        <v>0</v>
      </c>
      <c r="O305" s="52">
        <f>(Tablo1[[#This Row],[KALAN ESANS]]/Tablo1[[#This Row],[Esans]]*0.01)*(Tablo1[[#This Row],[Su]]*100)</f>
        <v>0</v>
      </c>
      <c r="P305" s="52">
        <f>Tablo1[[#This Row],[KALAN ESANS]]+Tablo1[[#This Row],[ALKOL Mik]]+Tablo1[[#This Row],[SU Mik]]</f>
        <v>0</v>
      </c>
    </row>
    <row r="306" spans="1:16" ht="15" customHeight="1" x14ac:dyDescent="0.2">
      <c r="A306" s="19" t="s">
        <v>479</v>
      </c>
      <c r="B306" s="42"/>
      <c r="C306" s="2">
        <v>0.19</v>
      </c>
      <c r="D306" s="2">
        <v>0.02</v>
      </c>
      <c r="E306" s="8">
        <f t="shared" si="4"/>
        <v>0.79</v>
      </c>
      <c r="F306" s="5" t="s">
        <v>25</v>
      </c>
      <c r="G306" s="18" t="s">
        <v>769</v>
      </c>
      <c r="H306" s="58" t="e">
        <f>((Tablo1[[#This Row],[Esans Fiyat]]/#REF!*Tablo1[[#This Row],[Esans]]*100)+(#REF!/1000*Tablo1[[#This Row],[Su]]*100)+(#REF!/1000*Tablo1[[#This Row],[Alkol]]*100))*(#REF!/100)+#REF!</f>
        <v>#REF!</v>
      </c>
      <c r="I306" s="5" t="s">
        <v>772</v>
      </c>
      <c r="J306" s="52" t="e">
        <f>#REF!*Tablo1[[#This Row],[Esans]]</f>
        <v>#REF!</v>
      </c>
      <c r="K306" s="52" t="e">
        <f>#REF!*Tablo1[[#This Row],[Su]]</f>
        <v>#REF!</v>
      </c>
      <c r="L306" s="52" t="e">
        <f>#REF!*Tablo1[[#This Row],[Alkol]]</f>
        <v>#REF!</v>
      </c>
      <c r="M306" s="45"/>
      <c r="N306" s="52">
        <f>(Tablo1[[#This Row],[KALAN ESANS]]/Tablo1[[#This Row],[Esans]]*0.01)*(Tablo1[[#This Row],[Alkol]]*100)</f>
        <v>0</v>
      </c>
      <c r="O306" s="52">
        <f>(Tablo1[[#This Row],[KALAN ESANS]]/Tablo1[[#This Row],[Esans]]*0.01)*(Tablo1[[#This Row],[Su]]*100)</f>
        <v>0</v>
      </c>
      <c r="P306" s="52">
        <f>Tablo1[[#This Row],[KALAN ESANS]]+Tablo1[[#This Row],[ALKOL Mik]]+Tablo1[[#This Row],[SU Mik]]</f>
        <v>0</v>
      </c>
    </row>
    <row r="307" spans="1:16" ht="15" customHeight="1" x14ac:dyDescent="0.2">
      <c r="A307" s="19" t="s">
        <v>478</v>
      </c>
      <c r="B307" s="42"/>
      <c r="C307" s="2">
        <v>0.19</v>
      </c>
      <c r="D307" s="2">
        <v>0.02</v>
      </c>
      <c r="E307" s="8">
        <f t="shared" si="4"/>
        <v>0.79</v>
      </c>
      <c r="F307" s="5" t="s">
        <v>25</v>
      </c>
      <c r="G307" s="18" t="s">
        <v>769</v>
      </c>
      <c r="H307" s="58" t="e">
        <f>((Tablo1[[#This Row],[Esans Fiyat]]/#REF!*Tablo1[[#This Row],[Esans]]*100)+(#REF!/1000*Tablo1[[#This Row],[Su]]*100)+(#REF!/1000*Tablo1[[#This Row],[Alkol]]*100))*(#REF!/100)+#REF!</f>
        <v>#REF!</v>
      </c>
      <c r="I307" s="5" t="s">
        <v>772</v>
      </c>
      <c r="J307" s="52" t="e">
        <f>#REF!*Tablo1[[#This Row],[Esans]]</f>
        <v>#REF!</v>
      </c>
      <c r="K307" s="52" t="e">
        <f>#REF!*Tablo1[[#This Row],[Su]]</f>
        <v>#REF!</v>
      </c>
      <c r="L307" s="52" t="e">
        <f>#REF!*Tablo1[[#This Row],[Alkol]]</f>
        <v>#REF!</v>
      </c>
      <c r="M307" s="45"/>
      <c r="N307" s="52">
        <f>(Tablo1[[#This Row],[KALAN ESANS]]/Tablo1[[#This Row],[Esans]]*0.01)*(Tablo1[[#This Row],[Alkol]]*100)</f>
        <v>0</v>
      </c>
      <c r="O307" s="52">
        <f>(Tablo1[[#This Row],[KALAN ESANS]]/Tablo1[[#This Row],[Esans]]*0.01)*(Tablo1[[#This Row],[Su]]*100)</f>
        <v>0</v>
      </c>
      <c r="P307" s="52">
        <f>Tablo1[[#This Row],[KALAN ESANS]]+Tablo1[[#This Row],[ALKOL Mik]]+Tablo1[[#This Row],[SU Mik]]</f>
        <v>0</v>
      </c>
    </row>
    <row r="308" spans="1:16" ht="15" customHeight="1" x14ac:dyDescent="0.2">
      <c r="A308" s="19" t="s">
        <v>286</v>
      </c>
      <c r="B308" s="42"/>
      <c r="C308" s="2">
        <v>0.2</v>
      </c>
      <c r="D308" s="2">
        <v>0.02</v>
      </c>
      <c r="E308" s="8">
        <f t="shared" si="4"/>
        <v>0.78</v>
      </c>
      <c r="F308" s="5" t="s">
        <v>25</v>
      </c>
      <c r="G308" s="18" t="s">
        <v>769</v>
      </c>
      <c r="H308" s="58" t="e">
        <f>((Tablo1[[#This Row],[Esans Fiyat]]/#REF!*Tablo1[[#This Row],[Esans]]*100)+(#REF!/1000*Tablo1[[#This Row],[Su]]*100)+(#REF!/1000*Tablo1[[#This Row],[Alkol]]*100))*(#REF!/100)+#REF!</f>
        <v>#REF!</v>
      </c>
      <c r="I308" s="5" t="s">
        <v>776</v>
      </c>
      <c r="J308" s="52" t="e">
        <f>#REF!*Tablo1[[#This Row],[Esans]]</f>
        <v>#REF!</v>
      </c>
      <c r="K308" s="52" t="e">
        <f>#REF!*Tablo1[[#This Row],[Su]]</f>
        <v>#REF!</v>
      </c>
      <c r="L308" s="52" t="e">
        <f>#REF!*Tablo1[[#This Row],[Alkol]]</f>
        <v>#REF!</v>
      </c>
      <c r="M308" s="45"/>
      <c r="N308" s="52">
        <f>(Tablo1[[#This Row],[KALAN ESANS]]/Tablo1[[#This Row],[Esans]]*0.01)*(Tablo1[[#This Row],[Alkol]]*100)</f>
        <v>0</v>
      </c>
      <c r="O308" s="52">
        <f>(Tablo1[[#This Row],[KALAN ESANS]]/Tablo1[[#This Row],[Esans]]*0.01)*(Tablo1[[#This Row],[Su]]*100)</f>
        <v>0</v>
      </c>
      <c r="P308" s="52">
        <f>Tablo1[[#This Row],[KALAN ESANS]]+Tablo1[[#This Row],[ALKOL Mik]]+Tablo1[[#This Row],[SU Mik]]</f>
        <v>0</v>
      </c>
    </row>
    <row r="309" spans="1:16" ht="15" customHeight="1" x14ac:dyDescent="0.2">
      <c r="A309" s="19" t="s">
        <v>477</v>
      </c>
      <c r="B309" s="42"/>
      <c r="C309" s="2">
        <v>0.2</v>
      </c>
      <c r="D309" s="2">
        <v>0.02</v>
      </c>
      <c r="E309" s="8">
        <f t="shared" si="4"/>
        <v>0.78</v>
      </c>
      <c r="F309" s="5" t="s">
        <v>25</v>
      </c>
      <c r="G309" s="18" t="s">
        <v>769</v>
      </c>
      <c r="H309" s="58" t="e">
        <f>((Tablo1[[#This Row],[Esans Fiyat]]/#REF!*Tablo1[[#This Row],[Esans]]*100)+(#REF!/1000*Tablo1[[#This Row],[Su]]*100)+(#REF!/1000*Tablo1[[#This Row],[Alkol]]*100))*(#REF!/100)+#REF!</f>
        <v>#REF!</v>
      </c>
      <c r="I309" s="5" t="s">
        <v>776</v>
      </c>
      <c r="J309" s="52" t="e">
        <f>#REF!*Tablo1[[#This Row],[Esans]]</f>
        <v>#REF!</v>
      </c>
      <c r="K309" s="52" t="e">
        <f>#REF!*Tablo1[[#This Row],[Su]]</f>
        <v>#REF!</v>
      </c>
      <c r="L309" s="52" t="e">
        <f>#REF!*Tablo1[[#This Row],[Alkol]]</f>
        <v>#REF!</v>
      </c>
      <c r="M309" s="45"/>
      <c r="N309" s="52">
        <f>(Tablo1[[#This Row],[KALAN ESANS]]/Tablo1[[#This Row],[Esans]]*0.01)*(Tablo1[[#This Row],[Alkol]]*100)</f>
        <v>0</v>
      </c>
      <c r="O309" s="52">
        <f>(Tablo1[[#This Row],[KALAN ESANS]]/Tablo1[[#This Row],[Esans]]*0.01)*(Tablo1[[#This Row],[Su]]*100)</f>
        <v>0</v>
      </c>
      <c r="P309" s="52">
        <f>Tablo1[[#This Row],[KALAN ESANS]]+Tablo1[[#This Row],[ALKOL Mik]]+Tablo1[[#This Row],[SU Mik]]</f>
        <v>0</v>
      </c>
    </row>
    <row r="310" spans="1:16" ht="15" customHeight="1" x14ac:dyDescent="0.2">
      <c r="A310" s="19" t="s">
        <v>474</v>
      </c>
      <c r="B310" s="42"/>
      <c r="C310" s="2">
        <v>0.2</v>
      </c>
      <c r="D310" s="2">
        <v>0.02</v>
      </c>
      <c r="E310" s="8">
        <f t="shared" si="4"/>
        <v>0.78</v>
      </c>
      <c r="F310" s="5" t="s">
        <v>25</v>
      </c>
      <c r="G310" s="18" t="s">
        <v>769</v>
      </c>
      <c r="H310" s="58" t="e">
        <f>((Tablo1[[#This Row],[Esans Fiyat]]/#REF!*Tablo1[[#This Row],[Esans]]*100)+(#REF!/1000*Tablo1[[#This Row],[Su]]*100)+(#REF!/1000*Tablo1[[#This Row],[Alkol]]*100))*(#REF!/100)+#REF!</f>
        <v>#REF!</v>
      </c>
      <c r="I310" s="5" t="s">
        <v>776</v>
      </c>
      <c r="J310" s="52" t="e">
        <f>#REF!*Tablo1[[#This Row],[Esans]]</f>
        <v>#REF!</v>
      </c>
      <c r="K310" s="52" t="e">
        <f>#REF!*Tablo1[[#This Row],[Su]]</f>
        <v>#REF!</v>
      </c>
      <c r="L310" s="52" t="e">
        <f>#REF!*Tablo1[[#This Row],[Alkol]]</f>
        <v>#REF!</v>
      </c>
      <c r="M310" s="45"/>
      <c r="N310" s="52">
        <f>(Tablo1[[#This Row],[KALAN ESANS]]/Tablo1[[#This Row],[Esans]]*0.01)*(Tablo1[[#This Row],[Alkol]]*100)</f>
        <v>0</v>
      </c>
      <c r="O310" s="52">
        <f>(Tablo1[[#This Row],[KALAN ESANS]]/Tablo1[[#This Row],[Esans]]*0.01)*(Tablo1[[#This Row],[Su]]*100)</f>
        <v>0</v>
      </c>
      <c r="P310" s="52">
        <f>Tablo1[[#This Row],[KALAN ESANS]]+Tablo1[[#This Row],[ALKOL Mik]]+Tablo1[[#This Row],[SU Mik]]</f>
        <v>0</v>
      </c>
    </row>
    <row r="311" spans="1:16" ht="15" customHeight="1" x14ac:dyDescent="0.2">
      <c r="A311" s="19" t="s">
        <v>475</v>
      </c>
      <c r="B311" s="42"/>
      <c r="C311" s="2">
        <v>0.2</v>
      </c>
      <c r="D311" s="2">
        <v>0.02</v>
      </c>
      <c r="E311" s="8">
        <f t="shared" si="4"/>
        <v>0.78</v>
      </c>
      <c r="F311" s="5" t="s">
        <v>25</v>
      </c>
      <c r="G311" s="18" t="s">
        <v>769</v>
      </c>
      <c r="H311" s="58" t="e">
        <f>((Tablo1[[#This Row],[Esans Fiyat]]/#REF!*Tablo1[[#This Row],[Esans]]*100)+(#REF!/1000*Tablo1[[#This Row],[Su]]*100)+(#REF!/1000*Tablo1[[#This Row],[Alkol]]*100))*(#REF!/100)+#REF!</f>
        <v>#REF!</v>
      </c>
      <c r="I311" s="5" t="s">
        <v>776</v>
      </c>
      <c r="J311" s="52" t="e">
        <f>#REF!*Tablo1[[#This Row],[Esans]]</f>
        <v>#REF!</v>
      </c>
      <c r="K311" s="52" t="e">
        <f>#REF!*Tablo1[[#This Row],[Su]]</f>
        <v>#REF!</v>
      </c>
      <c r="L311" s="52" t="e">
        <f>#REF!*Tablo1[[#This Row],[Alkol]]</f>
        <v>#REF!</v>
      </c>
      <c r="M311" s="45"/>
      <c r="N311" s="52">
        <f>(Tablo1[[#This Row],[KALAN ESANS]]/Tablo1[[#This Row],[Esans]]*0.01)*(Tablo1[[#This Row],[Alkol]]*100)</f>
        <v>0</v>
      </c>
      <c r="O311" s="52">
        <f>(Tablo1[[#This Row],[KALAN ESANS]]/Tablo1[[#This Row],[Esans]]*0.01)*(Tablo1[[#This Row],[Su]]*100)</f>
        <v>0</v>
      </c>
      <c r="P311" s="52">
        <f>Tablo1[[#This Row],[KALAN ESANS]]+Tablo1[[#This Row],[ALKOL Mik]]+Tablo1[[#This Row],[SU Mik]]</f>
        <v>0</v>
      </c>
    </row>
    <row r="312" spans="1:16" ht="15" customHeight="1" x14ac:dyDescent="0.2">
      <c r="A312" s="19" t="s">
        <v>476</v>
      </c>
      <c r="B312" s="42"/>
      <c r="C312" s="2">
        <v>0.19</v>
      </c>
      <c r="D312" s="2">
        <v>0.02</v>
      </c>
      <c r="E312" s="8">
        <f t="shared" si="4"/>
        <v>0.79</v>
      </c>
      <c r="F312" s="5" t="s">
        <v>25</v>
      </c>
      <c r="G312" s="18" t="s">
        <v>769</v>
      </c>
      <c r="H312" s="58" t="e">
        <f>((Tablo1[[#This Row],[Esans Fiyat]]/#REF!*Tablo1[[#This Row],[Esans]]*100)+(#REF!/1000*Tablo1[[#This Row],[Su]]*100)+(#REF!/1000*Tablo1[[#This Row],[Alkol]]*100))*(#REF!/100)+#REF!</f>
        <v>#REF!</v>
      </c>
      <c r="I312" s="5" t="s">
        <v>772</v>
      </c>
      <c r="J312" s="52" t="e">
        <f>#REF!*Tablo1[[#This Row],[Esans]]</f>
        <v>#REF!</v>
      </c>
      <c r="K312" s="52" t="e">
        <f>#REF!*Tablo1[[#This Row],[Su]]</f>
        <v>#REF!</v>
      </c>
      <c r="L312" s="52" t="e">
        <f>#REF!*Tablo1[[#This Row],[Alkol]]</f>
        <v>#REF!</v>
      </c>
      <c r="M312" s="45"/>
      <c r="N312" s="52">
        <f>(Tablo1[[#This Row],[KALAN ESANS]]/Tablo1[[#This Row],[Esans]]*0.01)*(Tablo1[[#This Row],[Alkol]]*100)</f>
        <v>0</v>
      </c>
      <c r="O312" s="52">
        <f>(Tablo1[[#This Row],[KALAN ESANS]]/Tablo1[[#This Row],[Esans]]*0.01)*(Tablo1[[#This Row],[Su]]*100)</f>
        <v>0</v>
      </c>
      <c r="P312" s="52">
        <f>Tablo1[[#This Row],[KALAN ESANS]]+Tablo1[[#This Row],[ALKOL Mik]]+Tablo1[[#This Row],[SU Mik]]</f>
        <v>0</v>
      </c>
    </row>
    <row r="313" spans="1:16" ht="15" customHeight="1" x14ac:dyDescent="0.2">
      <c r="A313" s="19" t="s">
        <v>472</v>
      </c>
      <c r="B313" s="42"/>
      <c r="C313" s="2">
        <v>0.2</v>
      </c>
      <c r="D313" s="2">
        <v>0.02</v>
      </c>
      <c r="E313" s="8">
        <f t="shared" si="4"/>
        <v>0.78</v>
      </c>
      <c r="F313" s="5" t="s">
        <v>25</v>
      </c>
      <c r="G313" s="18" t="s">
        <v>769</v>
      </c>
      <c r="H313" s="58" t="e">
        <f>((Tablo1[[#This Row],[Esans Fiyat]]/#REF!*Tablo1[[#This Row],[Esans]]*100)+(#REF!/1000*Tablo1[[#This Row],[Su]]*100)+(#REF!/1000*Tablo1[[#This Row],[Alkol]]*100))*(#REF!/100)+#REF!</f>
        <v>#REF!</v>
      </c>
      <c r="I313" s="5" t="s">
        <v>776</v>
      </c>
      <c r="J313" s="52" t="e">
        <f>#REF!*Tablo1[[#This Row],[Esans]]</f>
        <v>#REF!</v>
      </c>
      <c r="K313" s="52" t="e">
        <f>#REF!*Tablo1[[#This Row],[Su]]</f>
        <v>#REF!</v>
      </c>
      <c r="L313" s="52" t="e">
        <f>#REF!*Tablo1[[#This Row],[Alkol]]</f>
        <v>#REF!</v>
      </c>
      <c r="M313" s="45"/>
      <c r="N313" s="52">
        <f>(Tablo1[[#This Row],[KALAN ESANS]]/Tablo1[[#This Row],[Esans]]*0.01)*(Tablo1[[#This Row],[Alkol]]*100)</f>
        <v>0</v>
      </c>
      <c r="O313" s="52">
        <f>(Tablo1[[#This Row],[KALAN ESANS]]/Tablo1[[#This Row],[Esans]]*0.01)*(Tablo1[[#This Row],[Su]]*100)</f>
        <v>0</v>
      </c>
      <c r="P313" s="52">
        <f>Tablo1[[#This Row],[KALAN ESANS]]+Tablo1[[#This Row],[ALKOL Mik]]+Tablo1[[#This Row],[SU Mik]]</f>
        <v>0</v>
      </c>
    </row>
    <row r="314" spans="1:16" ht="15" customHeight="1" x14ac:dyDescent="0.2">
      <c r="A314" s="19" t="s">
        <v>471</v>
      </c>
      <c r="B314" s="42"/>
      <c r="C314" s="2">
        <v>0.18</v>
      </c>
      <c r="D314" s="2">
        <v>0.02</v>
      </c>
      <c r="E314" s="8">
        <f t="shared" si="4"/>
        <v>0.8</v>
      </c>
      <c r="F314" s="5" t="s">
        <v>25</v>
      </c>
      <c r="G314" s="18" t="s">
        <v>769</v>
      </c>
      <c r="H314" s="58" t="e">
        <f>((Tablo1[[#This Row],[Esans Fiyat]]/#REF!*Tablo1[[#This Row],[Esans]]*100)+(#REF!/1000*Tablo1[[#This Row],[Su]]*100)+(#REF!/1000*Tablo1[[#This Row],[Alkol]]*100))*(#REF!/100)+#REF!</f>
        <v>#REF!</v>
      </c>
      <c r="I314" s="5" t="s">
        <v>772</v>
      </c>
      <c r="J314" s="52" t="e">
        <f>#REF!*Tablo1[[#This Row],[Esans]]</f>
        <v>#REF!</v>
      </c>
      <c r="K314" s="52" t="e">
        <f>#REF!*Tablo1[[#This Row],[Su]]</f>
        <v>#REF!</v>
      </c>
      <c r="L314" s="52" t="e">
        <f>#REF!*Tablo1[[#This Row],[Alkol]]</f>
        <v>#REF!</v>
      </c>
      <c r="M314" s="45"/>
      <c r="N314" s="52">
        <f>(Tablo1[[#This Row],[KALAN ESANS]]/Tablo1[[#This Row],[Esans]]*0.01)*(Tablo1[[#This Row],[Alkol]]*100)</f>
        <v>0</v>
      </c>
      <c r="O314" s="52">
        <f>(Tablo1[[#This Row],[KALAN ESANS]]/Tablo1[[#This Row],[Esans]]*0.01)*(Tablo1[[#This Row],[Su]]*100)</f>
        <v>0</v>
      </c>
      <c r="P314" s="52">
        <f>Tablo1[[#This Row],[KALAN ESANS]]+Tablo1[[#This Row],[ALKOL Mik]]+Tablo1[[#This Row],[SU Mik]]</f>
        <v>0</v>
      </c>
    </row>
    <row r="315" spans="1:16" ht="15" customHeight="1" x14ac:dyDescent="0.2">
      <c r="A315" s="19" t="s">
        <v>470</v>
      </c>
      <c r="B315" s="42"/>
      <c r="C315" s="2">
        <v>0.2</v>
      </c>
      <c r="D315" s="2">
        <v>0.02</v>
      </c>
      <c r="E315" s="8">
        <f t="shared" si="4"/>
        <v>0.78</v>
      </c>
      <c r="F315" s="5" t="s">
        <v>25</v>
      </c>
      <c r="G315" s="18" t="s">
        <v>769</v>
      </c>
      <c r="H315" s="58" t="e">
        <f>((Tablo1[[#This Row],[Esans Fiyat]]/#REF!*Tablo1[[#This Row],[Esans]]*100)+(#REF!/1000*Tablo1[[#This Row],[Su]]*100)+(#REF!/1000*Tablo1[[#This Row],[Alkol]]*100))*(#REF!/100)+#REF!</f>
        <v>#REF!</v>
      </c>
      <c r="I315" s="5" t="s">
        <v>772</v>
      </c>
      <c r="J315" s="52" t="e">
        <f>#REF!*Tablo1[[#This Row],[Esans]]</f>
        <v>#REF!</v>
      </c>
      <c r="K315" s="52" t="e">
        <f>#REF!*Tablo1[[#This Row],[Su]]</f>
        <v>#REF!</v>
      </c>
      <c r="L315" s="52" t="e">
        <f>#REF!*Tablo1[[#This Row],[Alkol]]</f>
        <v>#REF!</v>
      </c>
      <c r="M315" s="45"/>
      <c r="N315" s="52">
        <f>(Tablo1[[#This Row],[KALAN ESANS]]/Tablo1[[#This Row],[Esans]]*0.01)*(Tablo1[[#This Row],[Alkol]]*100)</f>
        <v>0</v>
      </c>
      <c r="O315" s="52">
        <f>(Tablo1[[#This Row],[KALAN ESANS]]/Tablo1[[#This Row],[Esans]]*0.01)*(Tablo1[[#This Row],[Su]]*100)</f>
        <v>0</v>
      </c>
      <c r="P315" s="52">
        <f>Tablo1[[#This Row],[KALAN ESANS]]+Tablo1[[#This Row],[ALKOL Mik]]+Tablo1[[#This Row],[SU Mik]]</f>
        <v>0</v>
      </c>
    </row>
    <row r="316" spans="1:16" ht="15" customHeight="1" x14ac:dyDescent="0.2">
      <c r="A316" s="19" t="s">
        <v>473</v>
      </c>
      <c r="B316" s="42"/>
      <c r="C316" s="2">
        <v>0.2</v>
      </c>
      <c r="D316" s="2">
        <v>0.02</v>
      </c>
      <c r="E316" s="8">
        <f t="shared" si="4"/>
        <v>0.78</v>
      </c>
      <c r="F316" s="5" t="s">
        <v>25</v>
      </c>
      <c r="G316" s="18" t="s">
        <v>769</v>
      </c>
      <c r="H316" s="58" t="e">
        <f>((Tablo1[[#This Row],[Esans Fiyat]]/#REF!*Tablo1[[#This Row],[Esans]]*100)+(#REF!/1000*Tablo1[[#This Row],[Su]]*100)+(#REF!/1000*Tablo1[[#This Row],[Alkol]]*100))*(#REF!/100)+#REF!</f>
        <v>#REF!</v>
      </c>
      <c r="I316" s="5" t="s">
        <v>776</v>
      </c>
      <c r="J316" s="52" t="e">
        <f>#REF!*Tablo1[[#This Row],[Esans]]</f>
        <v>#REF!</v>
      </c>
      <c r="K316" s="52" t="e">
        <f>#REF!*Tablo1[[#This Row],[Su]]</f>
        <v>#REF!</v>
      </c>
      <c r="L316" s="52" t="e">
        <f>#REF!*Tablo1[[#This Row],[Alkol]]</f>
        <v>#REF!</v>
      </c>
      <c r="M316" s="45"/>
      <c r="N316" s="52">
        <f>(Tablo1[[#This Row],[KALAN ESANS]]/Tablo1[[#This Row],[Esans]]*0.01)*(Tablo1[[#This Row],[Alkol]]*100)</f>
        <v>0</v>
      </c>
      <c r="O316" s="52">
        <f>(Tablo1[[#This Row],[KALAN ESANS]]/Tablo1[[#This Row],[Esans]]*0.01)*(Tablo1[[#This Row],[Su]]*100)</f>
        <v>0</v>
      </c>
      <c r="P316" s="52">
        <f>Tablo1[[#This Row],[KALAN ESANS]]+Tablo1[[#This Row],[ALKOL Mik]]+Tablo1[[#This Row],[SU Mik]]</f>
        <v>0</v>
      </c>
    </row>
    <row r="317" spans="1:16" ht="15" customHeight="1" x14ac:dyDescent="0.2">
      <c r="A317" s="19" t="s">
        <v>4</v>
      </c>
      <c r="B317" s="42"/>
      <c r="C317" s="2">
        <v>0.17</v>
      </c>
      <c r="D317" s="2">
        <v>0.02</v>
      </c>
      <c r="E317" s="8">
        <f t="shared" si="4"/>
        <v>0.80999999999999994</v>
      </c>
      <c r="F317" s="5" t="s">
        <v>25</v>
      </c>
      <c r="G317" s="18" t="s">
        <v>769</v>
      </c>
      <c r="H317" s="58" t="e">
        <f>((Tablo1[[#This Row],[Esans Fiyat]]/#REF!*Tablo1[[#This Row],[Esans]]*100)+(#REF!/1000*Tablo1[[#This Row],[Su]]*100)+(#REF!/1000*Tablo1[[#This Row],[Alkol]]*100))*(#REF!/100)+#REF!</f>
        <v>#REF!</v>
      </c>
      <c r="I317" s="5" t="s">
        <v>772</v>
      </c>
      <c r="J317" s="52" t="e">
        <f>#REF!*Tablo1[[#This Row],[Esans]]</f>
        <v>#REF!</v>
      </c>
      <c r="K317" s="52" t="e">
        <f>#REF!*Tablo1[[#This Row],[Su]]</f>
        <v>#REF!</v>
      </c>
      <c r="L317" s="52" t="e">
        <f>#REF!*Tablo1[[#This Row],[Alkol]]</f>
        <v>#REF!</v>
      </c>
      <c r="M317" s="45"/>
      <c r="N317" s="52">
        <f>(Tablo1[[#This Row],[KALAN ESANS]]/Tablo1[[#This Row],[Esans]]*0.01)*(Tablo1[[#This Row],[Alkol]]*100)</f>
        <v>0</v>
      </c>
      <c r="O317" s="52">
        <f>(Tablo1[[#This Row],[KALAN ESANS]]/Tablo1[[#This Row],[Esans]]*0.01)*(Tablo1[[#This Row],[Su]]*100)</f>
        <v>0</v>
      </c>
      <c r="P317" s="52">
        <f>Tablo1[[#This Row],[KALAN ESANS]]+Tablo1[[#This Row],[ALKOL Mik]]+Tablo1[[#This Row],[SU Mik]]</f>
        <v>0</v>
      </c>
    </row>
    <row r="318" spans="1:16" ht="15" customHeight="1" x14ac:dyDescent="0.2">
      <c r="A318" s="19" t="s">
        <v>469</v>
      </c>
      <c r="B318" s="42"/>
      <c r="C318" s="2">
        <v>0.2</v>
      </c>
      <c r="D318" s="2">
        <v>0.02</v>
      </c>
      <c r="E318" s="8">
        <f t="shared" si="4"/>
        <v>0.78</v>
      </c>
      <c r="F318" s="5" t="s">
        <v>25</v>
      </c>
      <c r="G318" s="18" t="s">
        <v>769</v>
      </c>
      <c r="H318" s="58" t="e">
        <f>((Tablo1[[#This Row],[Esans Fiyat]]/#REF!*Tablo1[[#This Row],[Esans]]*100)+(#REF!/1000*Tablo1[[#This Row],[Su]]*100)+(#REF!/1000*Tablo1[[#This Row],[Alkol]]*100))*(#REF!/100)+#REF!</f>
        <v>#REF!</v>
      </c>
      <c r="I318" s="5" t="s">
        <v>778</v>
      </c>
      <c r="J318" s="52" t="e">
        <f>#REF!*Tablo1[[#This Row],[Esans]]</f>
        <v>#REF!</v>
      </c>
      <c r="K318" s="52" t="e">
        <f>#REF!*Tablo1[[#This Row],[Su]]</f>
        <v>#REF!</v>
      </c>
      <c r="L318" s="52" t="e">
        <f>#REF!*Tablo1[[#This Row],[Alkol]]</f>
        <v>#REF!</v>
      </c>
      <c r="M318" s="45"/>
      <c r="N318" s="52">
        <f>(Tablo1[[#This Row],[KALAN ESANS]]/Tablo1[[#This Row],[Esans]]*0.01)*(Tablo1[[#This Row],[Alkol]]*100)</f>
        <v>0</v>
      </c>
      <c r="O318" s="52">
        <f>(Tablo1[[#This Row],[KALAN ESANS]]/Tablo1[[#This Row],[Esans]]*0.01)*(Tablo1[[#This Row],[Su]]*100)</f>
        <v>0</v>
      </c>
      <c r="P318" s="52">
        <f>Tablo1[[#This Row],[KALAN ESANS]]+Tablo1[[#This Row],[ALKOL Mik]]+Tablo1[[#This Row],[SU Mik]]</f>
        <v>0</v>
      </c>
    </row>
    <row r="319" spans="1:16" ht="15" customHeight="1" x14ac:dyDescent="0.2">
      <c r="A319" s="19" t="s">
        <v>468</v>
      </c>
      <c r="B319" s="42"/>
      <c r="C319" s="2">
        <v>0.2</v>
      </c>
      <c r="D319" s="2">
        <v>0.02</v>
      </c>
      <c r="E319" s="8">
        <f t="shared" si="4"/>
        <v>0.78</v>
      </c>
      <c r="F319" s="5" t="s">
        <v>25</v>
      </c>
      <c r="G319" s="18" t="s">
        <v>769</v>
      </c>
      <c r="H319" s="58" t="e">
        <f>((Tablo1[[#This Row],[Esans Fiyat]]/#REF!*Tablo1[[#This Row],[Esans]]*100)+(#REF!/1000*Tablo1[[#This Row],[Su]]*100)+(#REF!/1000*Tablo1[[#This Row],[Alkol]]*100))*(#REF!/100)+#REF!</f>
        <v>#REF!</v>
      </c>
      <c r="I319" s="5" t="s">
        <v>776</v>
      </c>
      <c r="J319" s="52" t="e">
        <f>#REF!*Tablo1[[#This Row],[Esans]]</f>
        <v>#REF!</v>
      </c>
      <c r="K319" s="52" t="e">
        <f>#REF!*Tablo1[[#This Row],[Su]]</f>
        <v>#REF!</v>
      </c>
      <c r="L319" s="52" t="e">
        <f>#REF!*Tablo1[[#This Row],[Alkol]]</f>
        <v>#REF!</v>
      </c>
      <c r="M319" s="45"/>
      <c r="N319" s="52">
        <f>(Tablo1[[#This Row],[KALAN ESANS]]/Tablo1[[#This Row],[Esans]]*0.01)*(Tablo1[[#This Row],[Alkol]]*100)</f>
        <v>0</v>
      </c>
      <c r="O319" s="52">
        <f>(Tablo1[[#This Row],[KALAN ESANS]]/Tablo1[[#This Row],[Esans]]*0.01)*(Tablo1[[#This Row],[Su]]*100)</f>
        <v>0</v>
      </c>
      <c r="P319" s="52">
        <f>Tablo1[[#This Row],[KALAN ESANS]]+Tablo1[[#This Row],[ALKOL Mik]]+Tablo1[[#This Row],[SU Mik]]</f>
        <v>0</v>
      </c>
    </row>
    <row r="320" spans="1:16" ht="15" customHeight="1" x14ac:dyDescent="0.2">
      <c r="A320" s="19" t="s">
        <v>458</v>
      </c>
      <c r="B320" s="42"/>
      <c r="C320" s="2">
        <v>0.2</v>
      </c>
      <c r="D320" s="2">
        <v>0.02</v>
      </c>
      <c r="E320" s="8">
        <f t="shared" si="4"/>
        <v>0.78</v>
      </c>
      <c r="F320" s="5" t="s">
        <v>25</v>
      </c>
      <c r="G320" s="18" t="s">
        <v>769</v>
      </c>
      <c r="H320" s="58" t="e">
        <f>((Tablo1[[#This Row],[Esans Fiyat]]/#REF!*Tablo1[[#This Row],[Esans]]*100)+(#REF!/1000*Tablo1[[#This Row],[Su]]*100)+(#REF!/1000*Tablo1[[#This Row],[Alkol]]*100))*(#REF!/100)+#REF!</f>
        <v>#REF!</v>
      </c>
      <c r="I320" s="5" t="s">
        <v>778</v>
      </c>
      <c r="J320" s="52" t="e">
        <f>#REF!*Tablo1[[#This Row],[Esans]]</f>
        <v>#REF!</v>
      </c>
      <c r="K320" s="52" t="e">
        <f>#REF!*Tablo1[[#This Row],[Su]]</f>
        <v>#REF!</v>
      </c>
      <c r="L320" s="52" t="e">
        <f>#REF!*Tablo1[[#This Row],[Alkol]]</f>
        <v>#REF!</v>
      </c>
      <c r="M320" s="45"/>
      <c r="N320" s="52">
        <f>(Tablo1[[#This Row],[KALAN ESANS]]/Tablo1[[#This Row],[Esans]]*0.01)*(Tablo1[[#This Row],[Alkol]]*100)</f>
        <v>0</v>
      </c>
      <c r="O320" s="52">
        <f>(Tablo1[[#This Row],[KALAN ESANS]]/Tablo1[[#This Row],[Esans]]*0.01)*(Tablo1[[#This Row],[Su]]*100)</f>
        <v>0</v>
      </c>
      <c r="P320" s="52">
        <f>Tablo1[[#This Row],[KALAN ESANS]]+Tablo1[[#This Row],[ALKOL Mik]]+Tablo1[[#This Row],[SU Mik]]</f>
        <v>0</v>
      </c>
    </row>
    <row r="321" spans="1:16" ht="15" customHeight="1" x14ac:dyDescent="0.2">
      <c r="A321" s="19" t="s">
        <v>459</v>
      </c>
      <c r="B321" s="42"/>
      <c r="C321" s="2">
        <v>0.15</v>
      </c>
      <c r="D321" s="2">
        <v>0.02</v>
      </c>
      <c r="E321" s="8">
        <f t="shared" si="4"/>
        <v>0.83</v>
      </c>
      <c r="F321" s="5" t="s">
        <v>28</v>
      </c>
      <c r="G321" s="18" t="s">
        <v>769</v>
      </c>
      <c r="H321" s="58" t="e">
        <f>((Tablo1[[#This Row],[Esans Fiyat]]/#REF!*Tablo1[[#This Row],[Esans]]*100)+(#REF!/1000*Tablo1[[#This Row],[Su]]*100)+(#REF!/1000*Tablo1[[#This Row],[Alkol]]*100))*(#REF!/100)+#REF!</f>
        <v>#REF!</v>
      </c>
      <c r="I321" s="5" t="s">
        <v>776</v>
      </c>
      <c r="J321" s="52" t="e">
        <f>#REF!*Tablo1[[#This Row],[Esans]]</f>
        <v>#REF!</v>
      </c>
      <c r="K321" s="52" t="e">
        <f>#REF!*Tablo1[[#This Row],[Su]]</f>
        <v>#REF!</v>
      </c>
      <c r="L321" s="52" t="e">
        <f>#REF!*Tablo1[[#This Row],[Alkol]]</f>
        <v>#REF!</v>
      </c>
      <c r="M321" s="45"/>
      <c r="N321" s="52">
        <f>(Tablo1[[#This Row],[KALAN ESANS]]/Tablo1[[#This Row],[Esans]]*0.01)*(Tablo1[[#This Row],[Alkol]]*100)</f>
        <v>0</v>
      </c>
      <c r="O321" s="52">
        <f>(Tablo1[[#This Row],[KALAN ESANS]]/Tablo1[[#This Row],[Esans]]*0.01)*(Tablo1[[#This Row],[Su]]*100)</f>
        <v>0</v>
      </c>
      <c r="P321" s="52">
        <f>Tablo1[[#This Row],[KALAN ESANS]]+Tablo1[[#This Row],[ALKOL Mik]]+Tablo1[[#This Row],[SU Mik]]</f>
        <v>0</v>
      </c>
    </row>
    <row r="322" spans="1:16" ht="15" customHeight="1" x14ac:dyDescent="0.2">
      <c r="A322" s="19" t="s">
        <v>464</v>
      </c>
      <c r="B322" s="42"/>
      <c r="C322" s="2">
        <v>0.15</v>
      </c>
      <c r="D322" s="2">
        <v>0.02</v>
      </c>
      <c r="E322" s="8">
        <f t="shared" si="4"/>
        <v>0.83</v>
      </c>
      <c r="F322" s="5" t="s">
        <v>28</v>
      </c>
      <c r="G322" s="18" t="s">
        <v>769</v>
      </c>
      <c r="H322" s="58" t="e">
        <f>((Tablo1[[#This Row],[Esans Fiyat]]/#REF!*Tablo1[[#This Row],[Esans]]*100)+(#REF!/1000*Tablo1[[#This Row],[Su]]*100)+(#REF!/1000*Tablo1[[#This Row],[Alkol]]*100))*(#REF!/100)+#REF!</f>
        <v>#REF!</v>
      </c>
      <c r="I322" s="5" t="s">
        <v>772</v>
      </c>
      <c r="J322" s="52" t="e">
        <f>#REF!*Tablo1[[#This Row],[Esans]]</f>
        <v>#REF!</v>
      </c>
      <c r="K322" s="52" t="e">
        <f>#REF!*Tablo1[[#This Row],[Su]]</f>
        <v>#REF!</v>
      </c>
      <c r="L322" s="52" t="e">
        <f>#REF!*Tablo1[[#This Row],[Alkol]]</f>
        <v>#REF!</v>
      </c>
      <c r="M322" s="45"/>
      <c r="N322" s="52">
        <f>(Tablo1[[#This Row],[KALAN ESANS]]/Tablo1[[#This Row],[Esans]]*0.01)*(Tablo1[[#This Row],[Alkol]]*100)</f>
        <v>0</v>
      </c>
      <c r="O322" s="52">
        <f>(Tablo1[[#This Row],[KALAN ESANS]]/Tablo1[[#This Row],[Esans]]*0.01)*(Tablo1[[#This Row],[Su]]*100)</f>
        <v>0</v>
      </c>
      <c r="P322" s="52">
        <f>Tablo1[[#This Row],[KALAN ESANS]]+Tablo1[[#This Row],[ALKOL Mik]]+Tablo1[[#This Row],[SU Mik]]</f>
        <v>0</v>
      </c>
    </row>
    <row r="323" spans="1:16" ht="15" customHeight="1" x14ac:dyDescent="0.2">
      <c r="A323" s="19" t="s">
        <v>465</v>
      </c>
      <c r="B323" s="42"/>
      <c r="C323" s="2">
        <v>0.15</v>
      </c>
      <c r="D323" s="2">
        <v>0.02</v>
      </c>
      <c r="E323" s="8">
        <f t="shared" si="4"/>
        <v>0.83</v>
      </c>
      <c r="F323" s="5" t="s">
        <v>28</v>
      </c>
      <c r="G323" s="18" t="s">
        <v>769</v>
      </c>
      <c r="H323" s="58" t="e">
        <f>((Tablo1[[#This Row],[Esans Fiyat]]/#REF!*Tablo1[[#This Row],[Esans]]*100)+(#REF!/1000*Tablo1[[#This Row],[Su]]*100)+(#REF!/1000*Tablo1[[#This Row],[Alkol]]*100))*(#REF!/100)+#REF!</f>
        <v>#REF!</v>
      </c>
      <c r="I323" s="5" t="s">
        <v>776</v>
      </c>
      <c r="J323" s="52" t="e">
        <f>#REF!*Tablo1[[#This Row],[Esans]]</f>
        <v>#REF!</v>
      </c>
      <c r="K323" s="52" t="e">
        <f>#REF!*Tablo1[[#This Row],[Su]]</f>
        <v>#REF!</v>
      </c>
      <c r="L323" s="52" t="e">
        <f>#REF!*Tablo1[[#This Row],[Alkol]]</f>
        <v>#REF!</v>
      </c>
      <c r="M323" s="45"/>
      <c r="N323" s="52">
        <f>(Tablo1[[#This Row],[KALAN ESANS]]/Tablo1[[#This Row],[Esans]]*0.01)*(Tablo1[[#This Row],[Alkol]]*100)</f>
        <v>0</v>
      </c>
      <c r="O323" s="52">
        <f>(Tablo1[[#This Row],[KALAN ESANS]]/Tablo1[[#This Row],[Esans]]*0.01)*(Tablo1[[#This Row],[Su]]*100)</f>
        <v>0</v>
      </c>
      <c r="P323" s="52">
        <f>Tablo1[[#This Row],[KALAN ESANS]]+Tablo1[[#This Row],[ALKOL Mik]]+Tablo1[[#This Row],[SU Mik]]</f>
        <v>0</v>
      </c>
    </row>
    <row r="324" spans="1:16" ht="15" customHeight="1" x14ac:dyDescent="0.2">
      <c r="A324" s="19" t="s">
        <v>466</v>
      </c>
      <c r="B324" s="42"/>
      <c r="C324" s="2">
        <v>0.2</v>
      </c>
      <c r="D324" s="2">
        <v>0.02</v>
      </c>
      <c r="E324" s="8">
        <f t="shared" ref="E324:E387" si="5">1-D324-C324</f>
        <v>0.78</v>
      </c>
      <c r="F324" s="5" t="s">
        <v>25</v>
      </c>
      <c r="G324" s="18" t="s">
        <v>769</v>
      </c>
      <c r="H324" s="58" t="e">
        <f>((Tablo1[[#This Row],[Esans Fiyat]]/#REF!*Tablo1[[#This Row],[Esans]]*100)+(#REF!/1000*Tablo1[[#This Row],[Su]]*100)+(#REF!/1000*Tablo1[[#This Row],[Alkol]]*100))*(#REF!/100)+#REF!</f>
        <v>#REF!</v>
      </c>
      <c r="I324" s="5" t="s">
        <v>772</v>
      </c>
      <c r="J324" s="52" t="e">
        <f>#REF!*Tablo1[[#This Row],[Esans]]</f>
        <v>#REF!</v>
      </c>
      <c r="K324" s="52" t="e">
        <f>#REF!*Tablo1[[#This Row],[Su]]</f>
        <v>#REF!</v>
      </c>
      <c r="L324" s="52" t="e">
        <f>#REF!*Tablo1[[#This Row],[Alkol]]</f>
        <v>#REF!</v>
      </c>
      <c r="M324" s="45"/>
      <c r="N324" s="52">
        <f>(Tablo1[[#This Row],[KALAN ESANS]]/Tablo1[[#This Row],[Esans]]*0.01)*(Tablo1[[#This Row],[Alkol]]*100)</f>
        <v>0</v>
      </c>
      <c r="O324" s="52">
        <f>(Tablo1[[#This Row],[KALAN ESANS]]/Tablo1[[#This Row],[Esans]]*0.01)*(Tablo1[[#This Row],[Su]]*100)</f>
        <v>0</v>
      </c>
      <c r="P324" s="52">
        <f>Tablo1[[#This Row],[KALAN ESANS]]+Tablo1[[#This Row],[ALKOL Mik]]+Tablo1[[#This Row],[SU Mik]]</f>
        <v>0</v>
      </c>
    </row>
    <row r="325" spans="1:16" ht="15" customHeight="1" x14ac:dyDescent="0.2">
      <c r="A325" s="19" t="s">
        <v>467</v>
      </c>
      <c r="B325" s="42"/>
      <c r="C325" s="2">
        <v>0.23</v>
      </c>
      <c r="D325" s="2">
        <v>0.02</v>
      </c>
      <c r="E325" s="8">
        <f t="shared" si="5"/>
        <v>0.75</v>
      </c>
      <c r="F325" s="5" t="s">
        <v>25</v>
      </c>
      <c r="G325" s="18" t="s">
        <v>769</v>
      </c>
      <c r="H325" s="58" t="e">
        <f>((Tablo1[[#This Row],[Esans Fiyat]]/#REF!*Tablo1[[#This Row],[Esans]]*100)+(#REF!/1000*Tablo1[[#This Row],[Su]]*100)+(#REF!/1000*Tablo1[[#This Row],[Alkol]]*100))*(#REF!/100)+#REF!</f>
        <v>#REF!</v>
      </c>
      <c r="I325" s="5" t="s">
        <v>772</v>
      </c>
      <c r="J325" s="52" t="e">
        <f>#REF!*Tablo1[[#This Row],[Esans]]</f>
        <v>#REF!</v>
      </c>
      <c r="K325" s="52" t="e">
        <f>#REF!*Tablo1[[#This Row],[Su]]</f>
        <v>#REF!</v>
      </c>
      <c r="L325" s="52" t="e">
        <f>#REF!*Tablo1[[#This Row],[Alkol]]</f>
        <v>#REF!</v>
      </c>
      <c r="M325" s="45"/>
      <c r="N325" s="52">
        <f>(Tablo1[[#This Row],[KALAN ESANS]]/Tablo1[[#This Row],[Esans]]*0.01)*(Tablo1[[#This Row],[Alkol]]*100)</f>
        <v>0</v>
      </c>
      <c r="O325" s="52">
        <f>(Tablo1[[#This Row],[KALAN ESANS]]/Tablo1[[#This Row],[Esans]]*0.01)*(Tablo1[[#This Row],[Su]]*100)</f>
        <v>0</v>
      </c>
      <c r="P325" s="52">
        <f>Tablo1[[#This Row],[KALAN ESANS]]+Tablo1[[#This Row],[ALKOL Mik]]+Tablo1[[#This Row],[SU Mik]]</f>
        <v>0</v>
      </c>
    </row>
    <row r="326" spans="1:16" ht="15" customHeight="1" x14ac:dyDescent="0.2">
      <c r="A326" s="19" t="s">
        <v>461</v>
      </c>
      <c r="B326" s="42"/>
      <c r="C326" s="2">
        <v>0.2</v>
      </c>
      <c r="D326" s="2">
        <v>0.02</v>
      </c>
      <c r="E326" s="8">
        <f t="shared" si="5"/>
        <v>0.78</v>
      </c>
      <c r="F326" s="5" t="s">
        <v>25</v>
      </c>
      <c r="G326" s="18" t="s">
        <v>769</v>
      </c>
      <c r="H326" s="58" t="e">
        <f>((Tablo1[[#This Row],[Esans Fiyat]]/#REF!*Tablo1[[#This Row],[Esans]]*100)+(#REF!/1000*Tablo1[[#This Row],[Su]]*100)+(#REF!/1000*Tablo1[[#This Row],[Alkol]]*100))*(#REF!/100)+#REF!</f>
        <v>#REF!</v>
      </c>
      <c r="I326" s="5" t="s">
        <v>776</v>
      </c>
      <c r="J326" s="52" t="e">
        <f>#REF!*Tablo1[[#This Row],[Esans]]</f>
        <v>#REF!</v>
      </c>
      <c r="K326" s="52" t="e">
        <f>#REF!*Tablo1[[#This Row],[Su]]</f>
        <v>#REF!</v>
      </c>
      <c r="L326" s="52" t="e">
        <f>#REF!*Tablo1[[#This Row],[Alkol]]</f>
        <v>#REF!</v>
      </c>
      <c r="M326" s="45"/>
      <c r="N326" s="52">
        <f>(Tablo1[[#This Row],[KALAN ESANS]]/Tablo1[[#This Row],[Esans]]*0.01)*(Tablo1[[#This Row],[Alkol]]*100)</f>
        <v>0</v>
      </c>
      <c r="O326" s="52">
        <f>(Tablo1[[#This Row],[KALAN ESANS]]/Tablo1[[#This Row],[Esans]]*0.01)*(Tablo1[[#This Row],[Su]]*100)</f>
        <v>0</v>
      </c>
      <c r="P326" s="52">
        <f>Tablo1[[#This Row],[KALAN ESANS]]+Tablo1[[#This Row],[ALKOL Mik]]+Tablo1[[#This Row],[SU Mik]]</f>
        <v>0</v>
      </c>
    </row>
    <row r="327" spans="1:16" ht="15" customHeight="1" x14ac:dyDescent="0.2">
      <c r="A327" s="19" t="s">
        <v>460</v>
      </c>
      <c r="B327" s="42"/>
      <c r="C327" s="2">
        <v>0.2</v>
      </c>
      <c r="D327" s="2">
        <v>0.02</v>
      </c>
      <c r="E327" s="8">
        <f t="shared" si="5"/>
        <v>0.78</v>
      </c>
      <c r="F327" s="5" t="s">
        <v>25</v>
      </c>
      <c r="G327" s="18" t="s">
        <v>769</v>
      </c>
      <c r="H327" s="58" t="e">
        <f>((Tablo1[[#This Row],[Esans Fiyat]]/#REF!*Tablo1[[#This Row],[Esans]]*100)+(#REF!/1000*Tablo1[[#This Row],[Su]]*100)+(#REF!/1000*Tablo1[[#This Row],[Alkol]]*100))*(#REF!/100)+#REF!</f>
        <v>#REF!</v>
      </c>
      <c r="I327" s="5" t="s">
        <v>776</v>
      </c>
      <c r="J327" s="52" t="e">
        <f>#REF!*Tablo1[[#This Row],[Esans]]</f>
        <v>#REF!</v>
      </c>
      <c r="K327" s="52" t="e">
        <f>#REF!*Tablo1[[#This Row],[Su]]</f>
        <v>#REF!</v>
      </c>
      <c r="L327" s="52" t="e">
        <f>#REF!*Tablo1[[#This Row],[Alkol]]</f>
        <v>#REF!</v>
      </c>
      <c r="M327" s="45"/>
      <c r="N327" s="52">
        <f>(Tablo1[[#This Row],[KALAN ESANS]]/Tablo1[[#This Row],[Esans]]*0.01)*(Tablo1[[#This Row],[Alkol]]*100)</f>
        <v>0</v>
      </c>
      <c r="O327" s="52">
        <f>(Tablo1[[#This Row],[KALAN ESANS]]/Tablo1[[#This Row],[Esans]]*0.01)*(Tablo1[[#This Row],[Su]]*100)</f>
        <v>0</v>
      </c>
      <c r="P327" s="52">
        <f>Tablo1[[#This Row],[KALAN ESANS]]+Tablo1[[#This Row],[ALKOL Mik]]+Tablo1[[#This Row],[SU Mik]]</f>
        <v>0</v>
      </c>
    </row>
    <row r="328" spans="1:16" ht="15" customHeight="1" x14ac:dyDescent="0.2">
      <c r="A328" s="19" t="s">
        <v>463</v>
      </c>
      <c r="B328" s="42"/>
      <c r="C328" s="2">
        <v>0.2</v>
      </c>
      <c r="D328" s="2">
        <v>0.02</v>
      </c>
      <c r="E328" s="8">
        <f t="shared" si="5"/>
        <v>0.78</v>
      </c>
      <c r="F328" s="5" t="s">
        <v>25</v>
      </c>
      <c r="G328" s="18" t="s">
        <v>769</v>
      </c>
      <c r="H328" s="58" t="e">
        <f>((Tablo1[[#This Row],[Esans Fiyat]]/#REF!*Tablo1[[#This Row],[Esans]]*100)+(#REF!/1000*Tablo1[[#This Row],[Su]]*100)+(#REF!/1000*Tablo1[[#This Row],[Alkol]]*100))*(#REF!/100)+#REF!</f>
        <v>#REF!</v>
      </c>
      <c r="I328" s="5" t="s">
        <v>776</v>
      </c>
      <c r="J328" s="52" t="e">
        <f>#REF!*Tablo1[[#This Row],[Esans]]</f>
        <v>#REF!</v>
      </c>
      <c r="K328" s="52" t="e">
        <f>#REF!*Tablo1[[#This Row],[Su]]</f>
        <v>#REF!</v>
      </c>
      <c r="L328" s="52" t="e">
        <f>#REF!*Tablo1[[#This Row],[Alkol]]</f>
        <v>#REF!</v>
      </c>
      <c r="M328" s="45"/>
      <c r="N328" s="52">
        <f>(Tablo1[[#This Row],[KALAN ESANS]]/Tablo1[[#This Row],[Esans]]*0.01)*(Tablo1[[#This Row],[Alkol]]*100)</f>
        <v>0</v>
      </c>
      <c r="O328" s="52">
        <f>(Tablo1[[#This Row],[KALAN ESANS]]/Tablo1[[#This Row],[Esans]]*0.01)*(Tablo1[[#This Row],[Su]]*100)</f>
        <v>0</v>
      </c>
      <c r="P328" s="52">
        <f>Tablo1[[#This Row],[KALAN ESANS]]+Tablo1[[#This Row],[ALKOL Mik]]+Tablo1[[#This Row],[SU Mik]]</f>
        <v>0</v>
      </c>
    </row>
    <row r="329" spans="1:16" ht="15" customHeight="1" x14ac:dyDescent="0.2">
      <c r="A329" s="19" t="s">
        <v>462</v>
      </c>
      <c r="B329" s="42"/>
      <c r="C329" s="2">
        <v>0.2</v>
      </c>
      <c r="D329" s="2">
        <v>0.02</v>
      </c>
      <c r="E329" s="8">
        <f t="shared" si="5"/>
        <v>0.78</v>
      </c>
      <c r="F329" s="5" t="s">
        <v>25</v>
      </c>
      <c r="G329" s="18" t="s">
        <v>769</v>
      </c>
      <c r="H329" s="58" t="e">
        <f>((Tablo1[[#This Row],[Esans Fiyat]]/#REF!*Tablo1[[#This Row],[Esans]]*100)+(#REF!/1000*Tablo1[[#This Row],[Su]]*100)+(#REF!/1000*Tablo1[[#This Row],[Alkol]]*100))*(#REF!/100)+#REF!</f>
        <v>#REF!</v>
      </c>
      <c r="I329" s="5" t="s">
        <v>776</v>
      </c>
      <c r="J329" s="52" t="e">
        <f>#REF!*Tablo1[[#This Row],[Esans]]</f>
        <v>#REF!</v>
      </c>
      <c r="K329" s="52" t="e">
        <f>#REF!*Tablo1[[#This Row],[Su]]</f>
        <v>#REF!</v>
      </c>
      <c r="L329" s="52" t="e">
        <f>#REF!*Tablo1[[#This Row],[Alkol]]</f>
        <v>#REF!</v>
      </c>
      <c r="M329" s="45"/>
      <c r="N329" s="52">
        <f>(Tablo1[[#This Row],[KALAN ESANS]]/Tablo1[[#This Row],[Esans]]*0.01)*(Tablo1[[#This Row],[Alkol]]*100)</f>
        <v>0</v>
      </c>
      <c r="O329" s="52">
        <f>(Tablo1[[#This Row],[KALAN ESANS]]/Tablo1[[#This Row],[Esans]]*0.01)*(Tablo1[[#This Row],[Su]]*100)</f>
        <v>0</v>
      </c>
      <c r="P329" s="52">
        <f>Tablo1[[#This Row],[KALAN ESANS]]+Tablo1[[#This Row],[ALKOL Mik]]+Tablo1[[#This Row],[SU Mik]]</f>
        <v>0</v>
      </c>
    </row>
    <row r="330" spans="1:16" ht="15" customHeight="1" x14ac:dyDescent="0.2">
      <c r="A330" s="19" t="s">
        <v>457</v>
      </c>
      <c r="B330" s="42"/>
      <c r="C330" s="2">
        <v>0.22</v>
      </c>
      <c r="D330" s="2">
        <v>0.02</v>
      </c>
      <c r="E330" s="8">
        <f t="shared" si="5"/>
        <v>0.76</v>
      </c>
      <c r="F330" s="5" t="s">
        <v>25</v>
      </c>
      <c r="G330" s="18" t="s">
        <v>769</v>
      </c>
      <c r="H330" s="58" t="e">
        <f>((Tablo1[[#This Row],[Esans Fiyat]]/#REF!*Tablo1[[#This Row],[Esans]]*100)+(#REF!/1000*Tablo1[[#This Row],[Su]]*100)+(#REF!/1000*Tablo1[[#This Row],[Alkol]]*100))*(#REF!/100)+#REF!</f>
        <v>#REF!</v>
      </c>
      <c r="I330" s="5" t="s">
        <v>772</v>
      </c>
      <c r="J330" s="52" t="e">
        <f>#REF!*Tablo1[[#This Row],[Esans]]</f>
        <v>#REF!</v>
      </c>
      <c r="K330" s="52" t="e">
        <f>#REF!*Tablo1[[#This Row],[Su]]</f>
        <v>#REF!</v>
      </c>
      <c r="L330" s="52" t="e">
        <f>#REF!*Tablo1[[#This Row],[Alkol]]</f>
        <v>#REF!</v>
      </c>
      <c r="M330" s="45"/>
      <c r="N330" s="52">
        <f>(Tablo1[[#This Row],[KALAN ESANS]]/Tablo1[[#This Row],[Esans]]*0.01)*(Tablo1[[#This Row],[Alkol]]*100)</f>
        <v>0</v>
      </c>
      <c r="O330" s="52">
        <f>(Tablo1[[#This Row],[KALAN ESANS]]/Tablo1[[#This Row],[Esans]]*0.01)*(Tablo1[[#This Row],[Su]]*100)</f>
        <v>0</v>
      </c>
      <c r="P330" s="52">
        <f>Tablo1[[#This Row],[KALAN ESANS]]+Tablo1[[#This Row],[ALKOL Mik]]+Tablo1[[#This Row],[SU Mik]]</f>
        <v>0</v>
      </c>
    </row>
    <row r="331" spans="1:16" ht="15" customHeight="1" x14ac:dyDescent="0.2">
      <c r="A331" s="19" t="s">
        <v>456</v>
      </c>
      <c r="B331" s="42"/>
      <c r="C331" s="2">
        <v>0.2</v>
      </c>
      <c r="D331" s="2">
        <v>0.02</v>
      </c>
      <c r="E331" s="8">
        <f t="shared" si="5"/>
        <v>0.78</v>
      </c>
      <c r="F331" s="5" t="s">
        <v>25</v>
      </c>
      <c r="G331" s="18" t="s">
        <v>769</v>
      </c>
      <c r="H331" s="58" t="e">
        <f>((Tablo1[[#This Row],[Esans Fiyat]]/#REF!*Tablo1[[#This Row],[Esans]]*100)+(#REF!/1000*Tablo1[[#This Row],[Su]]*100)+(#REF!/1000*Tablo1[[#This Row],[Alkol]]*100))*(#REF!/100)+#REF!</f>
        <v>#REF!</v>
      </c>
      <c r="I331" s="5" t="s">
        <v>776</v>
      </c>
      <c r="J331" s="52" t="e">
        <f>#REF!*Tablo1[[#This Row],[Esans]]</f>
        <v>#REF!</v>
      </c>
      <c r="K331" s="52" t="e">
        <f>#REF!*Tablo1[[#This Row],[Su]]</f>
        <v>#REF!</v>
      </c>
      <c r="L331" s="52" t="e">
        <f>#REF!*Tablo1[[#This Row],[Alkol]]</f>
        <v>#REF!</v>
      </c>
      <c r="M331" s="45"/>
      <c r="N331" s="52">
        <f>(Tablo1[[#This Row],[KALAN ESANS]]/Tablo1[[#This Row],[Esans]]*0.01)*(Tablo1[[#This Row],[Alkol]]*100)</f>
        <v>0</v>
      </c>
      <c r="O331" s="52">
        <f>(Tablo1[[#This Row],[KALAN ESANS]]/Tablo1[[#This Row],[Esans]]*0.01)*(Tablo1[[#This Row],[Su]]*100)</f>
        <v>0</v>
      </c>
      <c r="P331" s="52">
        <f>Tablo1[[#This Row],[KALAN ESANS]]+Tablo1[[#This Row],[ALKOL Mik]]+Tablo1[[#This Row],[SU Mik]]</f>
        <v>0</v>
      </c>
    </row>
    <row r="332" spans="1:16" ht="15" customHeight="1" x14ac:dyDescent="0.2">
      <c r="A332" s="19" t="s">
        <v>455</v>
      </c>
      <c r="B332" s="42"/>
      <c r="C332" s="2">
        <v>0.08</v>
      </c>
      <c r="D332" s="2">
        <v>0.02</v>
      </c>
      <c r="E332" s="8">
        <f t="shared" si="5"/>
        <v>0.9</v>
      </c>
      <c r="F332" s="5" t="s">
        <v>28</v>
      </c>
      <c r="G332" s="18" t="s">
        <v>769</v>
      </c>
      <c r="H332" s="58" t="e">
        <f>((Tablo1[[#This Row],[Esans Fiyat]]/#REF!*Tablo1[[#This Row],[Esans]]*100)+(#REF!/1000*Tablo1[[#This Row],[Su]]*100)+(#REF!/1000*Tablo1[[#This Row],[Alkol]]*100))*(#REF!/100)+#REF!</f>
        <v>#REF!</v>
      </c>
      <c r="I332" s="5" t="s">
        <v>772</v>
      </c>
      <c r="J332" s="52" t="e">
        <f>#REF!*Tablo1[[#This Row],[Esans]]</f>
        <v>#REF!</v>
      </c>
      <c r="K332" s="52" t="e">
        <f>#REF!*Tablo1[[#This Row],[Su]]</f>
        <v>#REF!</v>
      </c>
      <c r="L332" s="52" t="e">
        <f>#REF!*Tablo1[[#This Row],[Alkol]]</f>
        <v>#REF!</v>
      </c>
      <c r="M332" s="45"/>
      <c r="N332" s="52">
        <f>(Tablo1[[#This Row],[KALAN ESANS]]/Tablo1[[#This Row],[Esans]]*0.01)*(Tablo1[[#This Row],[Alkol]]*100)</f>
        <v>0</v>
      </c>
      <c r="O332" s="52">
        <f>(Tablo1[[#This Row],[KALAN ESANS]]/Tablo1[[#This Row],[Esans]]*0.01)*(Tablo1[[#This Row],[Su]]*100)</f>
        <v>0</v>
      </c>
      <c r="P332" s="52">
        <f>Tablo1[[#This Row],[KALAN ESANS]]+Tablo1[[#This Row],[ALKOL Mik]]+Tablo1[[#This Row],[SU Mik]]</f>
        <v>0</v>
      </c>
    </row>
    <row r="333" spans="1:16" ht="15" customHeight="1" x14ac:dyDescent="0.2">
      <c r="A333" s="19" t="s">
        <v>454</v>
      </c>
      <c r="B333" s="42"/>
      <c r="C333" s="2">
        <v>0.2</v>
      </c>
      <c r="D333" s="2">
        <v>0.02</v>
      </c>
      <c r="E333" s="8">
        <f t="shared" si="5"/>
        <v>0.78</v>
      </c>
      <c r="F333" s="5" t="s">
        <v>25</v>
      </c>
      <c r="G333" s="18" t="s">
        <v>769</v>
      </c>
      <c r="H333" s="58" t="e">
        <f>((Tablo1[[#This Row],[Esans Fiyat]]/#REF!*Tablo1[[#This Row],[Esans]]*100)+(#REF!/1000*Tablo1[[#This Row],[Su]]*100)+(#REF!/1000*Tablo1[[#This Row],[Alkol]]*100))*(#REF!/100)+#REF!</f>
        <v>#REF!</v>
      </c>
      <c r="I333" s="5" t="s">
        <v>776</v>
      </c>
      <c r="J333" s="52" t="e">
        <f>#REF!*Tablo1[[#This Row],[Esans]]</f>
        <v>#REF!</v>
      </c>
      <c r="K333" s="52" t="e">
        <f>#REF!*Tablo1[[#This Row],[Su]]</f>
        <v>#REF!</v>
      </c>
      <c r="L333" s="52" t="e">
        <f>#REF!*Tablo1[[#This Row],[Alkol]]</f>
        <v>#REF!</v>
      </c>
      <c r="M333" s="45"/>
      <c r="N333" s="52">
        <f>(Tablo1[[#This Row],[KALAN ESANS]]/Tablo1[[#This Row],[Esans]]*0.01)*(Tablo1[[#This Row],[Alkol]]*100)</f>
        <v>0</v>
      </c>
      <c r="O333" s="52">
        <f>(Tablo1[[#This Row],[KALAN ESANS]]/Tablo1[[#This Row],[Esans]]*0.01)*(Tablo1[[#This Row],[Su]]*100)</f>
        <v>0</v>
      </c>
      <c r="P333" s="52">
        <f>Tablo1[[#This Row],[KALAN ESANS]]+Tablo1[[#This Row],[ALKOL Mik]]+Tablo1[[#This Row],[SU Mik]]</f>
        <v>0</v>
      </c>
    </row>
    <row r="334" spans="1:16" ht="15" customHeight="1" x14ac:dyDescent="0.2">
      <c r="A334" s="19" t="s">
        <v>453</v>
      </c>
      <c r="B334" s="42"/>
      <c r="C334" s="2">
        <v>0.2</v>
      </c>
      <c r="D334" s="2">
        <v>0.02</v>
      </c>
      <c r="E334" s="8">
        <f t="shared" si="5"/>
        <v>0.78</v>
      </c>
      <c r="F334" s="5" t="s">
        <v>25</v>
      </c>
      <c r="G334" s="18" t="s">
        <v>769</v>
      </c>
      <c r="H334" s="58" t="e">
        <f>((Tablo1[[#This Row],[Esans Fiyat]]/#REF!*Tablo1[[#This Row],[Esans]]*100)+(#REF!/1000*Tablo1[[#This Row],[Su]]*100)+(#REF!/1000*Tablo1[[#This Row],[Alkol]]*100))*(#REF!/100)+#REF!</f>
        <v>#REF!</v>
      </c>
      <c r="I334" s="5" t="s">
        <v>776</v>
      </c>
      <c r="J334" s="52" t="e">
        <f>#REF!*Tablo1[[#This Row],[Esans]]</f>
        <v>#REF!</v>
      </c>
      <c r="K334" s="52" t="e">
        <f>#REF!*Tablo1[[#This Row],[Su]]</f>
        <v>#REF!</v>
      </c>
      <c r="L334" s="52" t="e">
        <f>#REF!*Tablo1[[#This Row],[Alkol]]</f>
        <v>#REF!</v>
      </c>
      <c r="M334" s="45"/>
      <c r="N334" s="52">
        <f>(Tablo1[[#This Row],[KALAN ESANS]]/Tablo1[[#This Row],[Esans]]*0.01)*(Tablo1[[#This Row],[Alkol]]*100)</f>
        <v>0</v>
      </c>
      <c r="O334" s="52">
        <f>(Tablo1[[#This Row],[KALAN ESANS]]/Tablo1[[#This Row],[Esans]]*0.01)*(Tablo1[[#This Row],[Su]]*100)</f>
        <v>0</v>
      </c>
      <c r="P334" s="52">
        <f>Tablo1[[#This Row],[KALAN ESANS]]+Tablo1[[#This Row],[ALKOL Mik]]+Tablo1[[#This Row],[SU Mik]]</f>
        <v>0</v>
      </c>
    </row>
    <row r="335" spans="1:16" ht="15" customHeight="1" x14ac:dyDescent="0.2">
      <c r="A335" s="19" t="s">
        <v>449</v>
      </c>
      <c r="B335" s="42"/>
      <c r="C335" s="2">
        <v>0.2</v>
      </c>
      <c r="D335" s="2">
        <v>0.02</v>
      </c>
      <c r="E335" s="8">
        <f t="shared" si="5"/>
        <v>0.78</v>
      </c>
      <c r="F335" s="5" t="s">
        <v>25</v>
      </c>
      <c r="G335" s="18" t="s">
        <v>769</v>
      </c>
      <c r="H335" s="58" t="e">
        <f>((Tablo1[[#This Row],[Esans Fiyat]]/#REF!*Tablo1[[#This Row],[Esans]]*100)+(#REF!/1000*Tablo1[[#This Row],[Su]]*100)+(#REF!/1000*Tablo1[[#This Row],[Alkol]]*100))*(#REF!/100)+#REF!</f>
        <v>#REF!</v>
      </c>
      <c r="I335" s="5" t="s">
        <v>776</v>
      </c>
      <c r="J335" s="52" t="e">
        <f>#REF!*Tablo1[[#This Row],[Esans]]</f>
        <v>#REF!</v>
      </c>
      <c r="K335" s="52" t="e">
        <f>#REF!*Tablo1[[#This Row],[Su]]</f>
        <v>#REF!</v>
      </c>
      <c r="L335" s="52" t="e">
        <f>#REF!*Tablo1[[#This Row],[Alkol]]</f>
        <v>#REF!</v>
      </c>
      <c r="M335" s="45"/>
      <c r="N335" s="52">
        <f>(Tablo1[[#This Row],[KALAN ESANS]]/Tablo1[[#This Row],[Esans]]*0.01)*(Tablo1[[#This Row],[Alkol]]*100)</f>
        <v>0</v>
      </c>
      <c r="O335" s="52">
        <f>(Tablo1[[#This Row],[KALAN ESANS]]/Tablo1[[#This Row],[Esans]]*0.01)*(Tablo1[[#This Row],[Su]]*100)</f>
        <v>0</v>
      </c>
      <c r="P335" s="52">
        <f>Tablo1[[#This Row],[KALAN ESANS]]+Tablo1[[#This Row],[ALKOL Mik]]+Tablo1[[#This Row],[SU Mik]]</f>
        <v>0</v>
      </c>
    </row>
    <row r="336" spans="1:16" ht="15" customHeight="1" x14ac:dyDescent="0.2">
      <c r="A336" s="19" t="s">
        <v>452</v>
      </c>
      <c r="B336" s="42"/>
      <c r="C336" s="2">
        <v>0.2</v>
      </c>
      <c r="D336" s="2">
        <v>0.02</v>
      </c>
      <c r="E336" s="8">
        <f t="shared" si="5"/>
        <v>0.78</v>
      </c>
      <c r="F336" s="5" t="s">
        <v>25</v>
      </c>
      <c r="G336" s="18" t="s">
        <v>769</v>
      </c>
      <c r="H336" s="58" t="e">
        <f>((Tablo1[[#This Row],[Esans Fiyat]]/#REF!*Tablo1[[#This Row],[Esans]]*100)+(#REF!/1000*Tablo1[[#This Row],[Su]]*100)+(#REF!/1000*Tablo1[[#This Row],[Alkol]]*100))*(#REF!/100)+#REF!</f>
        <v>#REF!</v>
      </c>
      <c r="I336" s="5" t="s">
        <v>776</v>
      </c>
      <c r="J336" s="52" t="e">
        <f>#REF!*Tablo1[[#This Row],[Esans]]</f>
        <v>#REF!</v>
      </c>
      <c r="K336" s="52" t="e">
        <f>#REF!*Tablo1[[#This Row],[Su]]</f>
        <v>#REF!</v>
      </c>
      <c r="L336" s="52" t="e">
        <f>#REF!*Tablo1[[#This Row],[Alkol]]</f>
        <v>#REF!</v>
      </c>
      <c r="M336" s="45"/>
      <c r="N336" s="52">
        <f>(Tablo1[[#This Row],[KALAN ESANS]]/Tablo1[[#This Row],[Esans]]*0.01)*(Tablo1[[#This Row],[Alkol]]*100)</f>
        <v>0</v>
      </c>
      <c r="O336" s="52">
        <f>(Tablo1[[#This Row],[KALAN ESANS]]/Tablo1[[#This Row],[Esans]]*0.01)*(Tablo1[[#This Row],[Su]]*100)</f>
        <v>0</v>
      </c>
      <c r="P336" s="52">
        <f>Tablo1[[#This Row],[KALAN ESANS]]+Tablo1[[#This Row],[ALKOL Mik]]+Tablo1[[#This Row],[SU Mik]]</f>
        <v>0</v>
      </c>
    </row>
    <row r="337" spans="1:16" ht="15" customHeight="1" x14ac:dyDescent="0.2">
      <c r="A337" s="19" t="s">
        <v>450</v>
      </c>
      <c r="B337" s="42"/>
      <c r="C337" s="2">
        <v>0.2</v>
      </c>
      <c r="D337" s="2">
        <v>0.02</v>
      </c>
      <c r="E337" s="8">
        <f t="shared" si="5"/>
        <v>0.78</v>
      </c>
      <c r="F337" s="5" t="s">
        <v>25</v>
      </c>
      <c r="G337" s="18" t="s">
        <v>769</v>
      </c>
      <c r="H337" s="58" t="e">
        <f>((Tablo1[[#This Row],[Esans Fiyat]]/#REF!*Tablo1[[#This Row],[Esans]]*100)+(#REF!/1000*Tablo1[[#This Row],[Su]]*100)+(#REF!/1000*Tablo1[[#This Row],[Alkol]]*100))*(#REF!/100)+#REF!</f>
        <v>#REF!</v>
      </c>
      <c r="I337" s="5" t="s">
        <v>776</v>
      </c>
      <c r="J337" s="52" t="e">
        <f>#REF!*Tablo1[[#This Row],[Esans]]</f>
        <v>#REF!</v>
      </c>
      <c r="K337" s="52" t="e">
        <f>#REF!*Tablo1[[#This Row],[Su]]</f>
        <v>#REF!</v>
      </c>
      <c r="L337" s="52" t="e">
        <f>#REF!*Tablo1[[#This Row],[Alkol]]</f>
        <v>#REF!</v>
      </c>
      <c r="M337" s="45"/>
      <c r="N337" s="52">
        <f>(Tablo1[[#This Row],[KALAN ESANS]]/Tablo1[[#This Row],[Esans]]*0.01)*(Tablo1[[#This Row],[Alkol]]*100)</f>
        <v>0</v>
      </c>
      <c r="O337" s="52">
        <f>(Tablo1[[#This Row],[KALAN ESANS]]/Tablo1[[#This Row],[Esans]]*0.01)*(Tablo1[[#This Row],[Su]]*100)</f>
        <v>0</v>
      </c>
      <c r="P337" s="52">
        <f>Tablo1[[#This Row],[KALAN ESANS]]+Tablo1[[#This Row],[ALKOL Mik]]+Tablo1[[#This Row],[SU Mik]]</f>
        <v>0</v>
      </c>
    </row>
    <row r="338" spans="1:16" ht="15" customHeight="1" x14ac:dyDescent="0.2">
      <c r="A338" s="19" t="s">
        <v>451</v>
      </c>
      <c r="B338" s="42"/>
      <c r="C338" s="2">
        <v>0.15</v>
      </c>
      <c r="D338" s="2">
        <v>0.02</v>
      </c>
      <c r="E338" s="8">
        <f t="shared" si="5"/>
        <v>0.83</v>
      </c>
      <c r="F338" s="5" t="s">
        <v>28</v>
      </c>
      <c r="G338" s="18" t="s">
        <v>769</v>
      </c>
      <c r="H338" s="58" t="e">
        <f>((Tablo1[[#This Row],[Esans Fiyat]]/#REF!*Tablo1[[#This Row],[Esans]]*100)+(#REF!/1000*Tablo1[[#This Row],[Su]]*100)+(#REF!/1000*Tablo1[[#This Row],[Alkol]]*100))*(#REF!/100)+#REF!</f>
        <v>#REF!</v>
      </c>
      <c r="I338" s="5" t="s">
        <v>772</v>
      </c>
      <c r="J338" s="52" t="e">
        <f>#REF!*Tablo1[[#This Row],[Esans]]</f>
        <v>#REF!</v>
      </c>
      <c r="K338" s="52" t="e">
        <f>#REF!*Tablo1[[#This Row],[Su]]</f>
        <v>#REF!</v>
      </c>
      <c r="L338" s="52" t="e">
        <f>#REF!*Tablo1[[#This Row],[Alkol]]</f>
        <v>#REF!</v>
      </c>
      <c r="M338" s="45"/>
      <c r="N338" s="52">
        <f>(Tablo1[[#This Row],[KALAN ESANS]]/Tablo1[[#This Row],[Esans]]*0.01)*(Tablo1[[#This Row],[Alkol]]*100)</f>
        <v>0</v>
      </c>
      <c r="O338" s="52">
        <f>(Tablo1[[#This Row],[KALAN ESANS]]/Tablo1[[#This Row],[Esans]]*0.01)*(Tablo1[[#This Row],[Su]]*100)</f>
        <v>0</v>
      </c>
      <c r="P338" s="52">
        <f>Tablo1[[#This Row],[KALAN ESANS]]+Tablo1[[#This Row],[ALKOL Mik]]+Tablo1[[#This Row],[SU Mik]]</f>
        <v>0</v>
      </c>
    </row>
    <row r="339" spans="1:16" ht="15" customHeight="1" x14ac:dyDescent="0.2">
      <c r="A339" s="19" t="s">
        <v>448</v>
      </c>
      <c r="B339" s="42"/>
      <c r="C339" s="2">
        <v>0.2</v>
      </c>
      <c r="D339" s="2">
        <v>0.02</v>
      </c>
      <c r="E339" s="8">
        <f t="shared" si="5"/>
        <v>0.78</v>
      </c>
      <c r="F339" s="5" t="s">
        <v>25</v>
      </c>
      <c r="G339" s="18" t="s">
        <v>769</v>
      </c>
      <c r="H339" s="58" t="e">
        <f>((Tablo1[[#This Row],[Esans Fiyat]]/#REF!*Tablo1[[#This Row],[Esans]]*100)+(#REF!/1000*Tablo1[[#This Row],[Su]]*100)+(#REF!/1000*Tablo1[[#This Row],[Alkol]]*100))*(#REF!/100)+#REF!</f>
        <v>#REF!</v>
      </c>
      <c r="I339" s="5" t="s">
        <v>776</v>
      </c>
      <c r="J339" s="52" t="e">
        <f>#REF!*Tablo1[[#This Row],[Esans]]</f>
        <v>#REF!</v>
      </c>
      <c r="K339" s="52" t="e">
        <f>#REF!*Tablo1[[#This Row],[Su]]</f>
        <v>#REF!</v>
      </c>
      <c r="L339" s="52" t="e">
        <f>#REF!*Tablo1[[#This Row],[Alkol]]</f>
        <v>#REF!</v>
      </c>
      <c r="M339" s="45"/>
      <c r="N339" s="52">
        <f>(Tablo1[[#This Row],[KALAN ESANS]]/Tablo1[[#This Row],[Esans]]*0.01)*(Tablo1[[#This Row],[Alkol]]*100)</f>
        <v>0</v>
      </c>
      <c r="O339" s="52">
        <f>(Tablo1[[#This Row],[KALAN ESANS]]/Tablo1[[#This Row],[Esans]]*0.01)*(Tablo1[[#This Row],[Su]]*100)</f>
        <v>0</v>
      </c>
      <c r="P339" s="52">
        <f>Tablo1[[#This Row],[KALAN ESANS]]+Tablo1[[#This Row],[ALKOL Mik]]+Tablo1[[#This Row],[SU Mik]]</f>
        <v>0</v>
      </c>
    </row>
    <row r="340" spans="1:16" ht="15" customHeight="1" x14ac:dyDescent="0.2">
      <c r="A340" s="19" t="s">
        <v>447</v>
      </c>
      <c r="B340" s="42"/>
      <c r="C340" s="2">
        <v>0.2</v>
      </c>
      <c r="D340" s="2">
        <v>0.02</v>
      </c>
      <c r="E340" s="8">
        <f t="shared" si="5"/>
        <v>0.78</v>
      </c>
      <c r="F340" s="5" t="s">
        <v>25</v>
      </c>
      <c r="G340" s="18" t="s">
        <v>769</v>
      </c>
      <c r="H340" s="58" t="e">
        <f>((Tablo1[[#This Row],[Esans Fiyat]]/#REF!*Tablo1[[#This Row],[Esans]]*100)+(#REF!/1000*Tablo1[[#This Row],[Su]]*100)+(#REF!/1000*Tablo1[[#This Row],[Alkol]]*100))*(#REF!/100)+#REF!</f>
        <v>#REF!</v>
      </c>
      <c r="I340" s="5" t="s">
        <v>776</v>
      </c>
      <c r="J340" s="52" t="e">
        <f>#REF!*Tablo1[[#This Row],[Esans]]</f>
        <v>#REF!</v>
      </c>
      <c r="K340" s="52" t="e">
        <f>#REF!*Tablo1[[#This Row],[Su]]</f>
        <v>#REF!</v>
      </c>
      <c r="L340" s="52" t="e">
        <f>#REF!*Tablo1[[#This Row],[Alkol]]</f>
        <v>#REF!</v>
      </c>
      <c r="M340" s="45"/>
      <c r="N340" s="52">
        <f>(Tablo1[[#This Row],[KALAN ESANS]]/Tablo1[[#This Row],[Esans]]*0.01)*(Tablo1[[#This Row],[Alkol]]*100)</f>
        <v>0</v>
      </c>
      <c r="O340" s="52">
        <f>(Tablo1[[#This Row],[KALAN ESANS]]/Tablo1[[#This Row],[Esans]]*0.01)*(Tablo1[[#This Row],[Su]]*100)</f>
        <v>0</v>
      </c>
      <c r="P340" s="52">
        <f>Tablo1[[#This Row],[KALAN ESANS]]+Tablo1[[#This Row],[ALKOL Mik]]+Tablo1[[#This Row],[SU Mik]]</f>
        <v>0</v>
      </c>
    </row>
    <row r="341" spans="1:16" ht="15" customHeight="1" x14ac:dyDescent="0.2">
      <c r="A341" s="19" t="s">
        <v>277</v>
      </c>
      <c r="B341" s="42"/>
      <c r="C341" s="2">
        <v>0.15</v>
      </c>
      <c r="D341" s="2">
        <v>0.02</v>
      </c>
      <c r="E341" s="8">
        <f t="shared" si="5"/>
        <v>0.83</v>
      </c>
      <c r="F341" s="5" t="s">
        <v>28</v>
      </c>
      <c r="G341" s="18" t="s">
        <v>769</v>
      </c>
      <c r="H341" s="58" t="e">
        <f>((Tablo1[[#This Row],[Esans Fiyat]]/#REF!*Tablo1[[#This Row],[Esans]]*100)+(#REF!/1000*Tablo1[[#This Row],[Su]]*100)+(#REF!/1000*Tablo1[[#This Row],[Alkol]]*100))*(#REF!/100)+#REF!</f>
        <v>#REF!</v>
      </c>
      <c r="I341" s="5" t="s">
        <v>776</v>
      </c>
      <c r="J341" s="52" t="e">
        <f>#REF!*Tablo1[[#This Row],[Esans]]</f>
        <v>#REF!</v>
      </c>
      <c r="K341" s="52" t="e">
        <f>#REF!*Tablo1[[#This Row],[Su]]</f>
        <v>#REF!</v>
      </c>
      <c r="L341" s="52" t="e">
        <f>#REF!*Tablo1[[#This Row],[Alkol]]</f>
        <v>#REF!</v>
      </c>
      <c r="M341" s="45"/>
      <c r="N341" s="52">
        <f>(Tablo1[[#This Row],[KALAN ESANS]]/Tablo1[[#This Row],[Esans]]*0.01)*(Tablo1[[#This Row],[Alkol]]*100)</f>
        <v>0</v>
      </c>
      <c r="O341" s="52">
        <f>(Tablo1[[#This Row],[KALAN ESANS]]/Tablo1[[#This Row],[Esans]]*0.01)*(Tablo1[[#This Row],[Su]]*100)</f>
        <v>0</v>
      </c>
      <c r="P341" s="52">
        <f>Tablo1[[#This Row],[KALAN ESANS]]+Tablo1[[#This Row],[ALKOL Mik]]+Tablo1[[#This Row],[SU Mik]]</f>
        <v>0</v>
      </c>
    </row>
    <row r="342" spans="1:16" ht="15" customHeight="1" x14ac:dyDescent="0.2">
      <c r="A342" s="19" t="s">
        <v>446</v>
      </c>
      <c r="B342" s="42"/>
      <c r="C342" s="2">
        <v>0.15</v>
      </c>
      <c r="D342" s="2">
        <v>0.02</v>
      </c>
      <c r="E342" s="8">
        <f t="shared" si="5"/>
        <v>0.83</v>
      </c>
      <c r="F342" s="5" t="s">
        <v>28</v>
      </c>
      <c r="G342" s="18" t="s">
        <v>769</v>
      </c>
      <c r="H342" s="58" t="e">
        <f>((Tablo1[[#This Row],[Esans Fiyat]]/#REF!*Tablo1[[#This Row],[Esans]]*100)+(#REF!/1000*Tablo1[[#This Row],[Su]]*100)+(#REF!/1000*Tablo1[[#This Row],[Alkol]]*100))*(#REF!/100)+#REF!</f>
        <v>#REF!</v>
      </c>
      <c r="I342" s="5" t="s">
        <v>776</v>
      </c>
      <c r="J342" s="52" t="e">
        <f>#REF!*Tablo1[[#This Row],[Esans]]</f>
        <v>#REF!</v>
      </c>
      <c r="K342" s="52" t="e">
        <f>#REF!*Tablo1[[#This Row],[Su]]</f>
        <v>#REF!</v>
      </c>
      <c r="L342" s="52" t="e">
        <f>#REF!*Tablo1[[#This Row],[Alkol]]</f>
        <v>#REF!</v>
      </c>
      <c r="M342" s="45"/>
      <c r="N342" s="52">
        <f>(Tablo1[[#This Row],[KALAN ESANS]]/Tablo1[[#This Row],[Esans]]*0.01)*(Tablo1[[#This Row],[Alkol]]*100)</f>
        <v>0</v>
      </c>
      <c r="O342" s="52">
        <f>(Tablo1[[#This Row],[KALAN ESANS]]/Tablo1[[#This Row],[Esans]]*0.01)*(Tablo1[[#This Row],[Su]]*100)</f>
        <v>0</v>
      </c>
      <c r="P342" s="52">
        <f>Tablo1[[#This Row],[KALAN ESANS]]+Tablo1[[#This Row],[ALKOL Mik]]+Tablo1[[#This Row],[SU Mik]]</f>
        <v>0</v>
      </c>
    </row>
    <row r="343" spans="1:16" ht="15" customHeight="1" x14ac:dyDescent="0.2">
      <c r="A343" s="19" t="s">
        <v>445</v>
      </c>
      <c r="B343" s="42"/>
      <c r="C343" s="2">
        <v>0.15</v>
      </c>
      <c r="D343" s="2">
        <v>0.02</v>
      </c>
      <c r="E343" s="8">
        <f t="shared" si="5"/>
        <v>0.83</v>
      </c>
      <c r="F343" s="5" t="s">
        <v>28</v>
      </c>
      <c r="G343" s="18" t="s">
        <v>769</v>
      </c>
      <c r="H343" s="58" t="e">
        <f>((Tablo1[[#This Row],[Esans Fiyat]]/#REF!*Tablo1[[#This Row],[Esans]]*100)+(#REF!/1000*Tablo1[[#This Row],[Su]]*100)+(#REF!/1000*Tablo1[[#This Row],[Alkol]]*100))*(#REF!/100)+#REF!</f>
        <v>#REF!</v>
      </c>
      <c r="I343" s="5" t="s">
        <v>776</v>
      </c>
      <c r="J343" s="52" t="e">
        <f>#REF!*Tablo1[[#This Row],[Esans]]</f>
        <v>#REF!</v>
      </c>
      <c r="K343" s="52" t="e">
        <f>#REF!*Tablo1[[#This Row],[Su]]</f>
        <v>#REF!</v>
      </c>
      <c r="L343" s="52" t="e">
        <f>#REF!*Tablo1[[#This Row],[Alkol]]</f>
        <v>#REF!</v>
      </c>
      <c r="M343" s="45"/>
      <c r="N343" s="52">
        <f>(Tablo1[[#This Row],[KALAN ESANS]]/Tablo1[[#This Row],[Esans]]*0.01)*(Tablo1[[#This Row],[Alkol]]*100)</f>
        <v>0</v>
      </c>
      <c r="O343" s="52">
        <f>(Tablo1[[#This Row],[KALAN ESANS]]/Tablo1[[#This Row],[Esans]]*0.01)*(Tablo1[[#This Row],[Su]]*100)</f>
        <v>0</v>
      </c>
      <c r="P343" s="52">
        <f>Tablo1[[#This Row],[KALAN ESANS]]+Tablo1[[#This Row],[ALKOL Mik]]+Tablo1[[#This Row],[SU Mik]]</f>
        <v>0</v>
      </c>
    </row>
    <row r="344" spans="1:16" ht="15" customHeight="1" x14ac:dyDescent="0.2">
      <c r="A344" s="19" t="s">
        <v>444</v>
      </c>
      <c r="B344" s="42"/>
      <c r="C344" s="2">
        <v>0.2</v>
      </c>
      <c r="D344" s="2">
        <v>0.02</v>
      </c>
      <c r="E344" s="8">
        <f t="shared" si="5"/>
        <v>0.78</v>
      </c>
      <c r="F344" s="5" t="s">
        <v>25</v>
      </c>
      <c r="G344" s="18" t="s">
        <v>769</v>
      </c>
      <c r="H344" s="58" t="e">
        <f>((Tablo1[[#This Row],[Esans Fiyat]]/#REF!*Tablo1[[#This Row],[Esans]]*100)+(#REF!/1000*Tablo1[[#This Row],[Su]]*100)+(#REF!/1000*Tablo1[[#This Row],[Alkol]]*100))*(#REF!/100)+#REF!</f>
        <v>#REF!</v>
      </c>
      <c r="I344" s="5" t="s">
        <v>776</v>
      </c>
      <c r="J344" s="52" t="e">
        <f>#REF!*Tablo1[[#This Row],[Esans]]</f>
        <v>#REF!</v>
      </c>
      <c r="K344" s="52" t="e">
        <f>#REF!*Tablo1[[#This Row],[Su]]</f>
        <v>#REF!</v>
      </c>
      <c r="L344" s="52" t="e">
        <f>#REF!*Tablo1[[#This Row],[Alkol]]</f>
        <v>#REF!</v>
      </c>
      <c r="M344" s="45"/>
      <c r="N344" s="52">
        <f>(Tablo1[[#This Row],[KALAN ESANS]]/Tablo1[[#This Row],[Esans]]*0.01)*(Tablo1[[#This Row],[Alkol]]*100)</f>
        <v>0</v>
      </c>
      <c r="O344" s="52">
        <f>(Tablo1[[#This Row],[KALAN ESANS]]/Tablo1[[#This Row],[Esans]]*0.01)*(Tablo1[[#This Row],[Su]]*100)</f>
        <v>0</v>
      </c>
      <c r="P344" s="52">
        <f>Tablo1[[#This Row],[KALAN ESANS]]+Tablo1[[#This Row],[ALKOL Mik]]+Tablo1[[#This Row],[SU Mik]]</f>
        <v>0</v>
      </c>
    </row>
    <row r="345" spans="1:16" ht="15" customHeight="1" x14ac:dyDescent="0.2">
      <c r="A345" s="19" t="s">
        <v>443</v>
      </c>
      <c r="B345" s="42"/>
      <c r="C345" s="2">
        <v>0.2</v>
      </c>
      <c r="D345" s="2">
        <v>0</v>
      </c>
      <c r="E345" s="8">
        <f t="shared" si="5"/>
        <v>0.8</v>
      </c>
      <c r="F345" s="5" t="s">
        <v>25</v>
      </c>
      <c r="G345" s="18" t="s">
        <v>769</v>
      </c>
      <c r="H345" s="58" t="e">
        <f>((Tablo1[[#This Row],[Esans Fiyat]]/#REF!*Tablo1[[#This Row],[Esans]]*100)+(#REF!/1000*Tablo1[[#This Row],[Su]]*100)+(#REF!/1000*Tablo1[[#This Row],[Alkol]]*100))*(#REF!/100)+#REF!</f>
        <v>#REF!</v>
      </c>
      <c r="I345" s="5" t="s">
        <v>776</v>
      </c>
      <c r="J345" s="52" t="e">
        <f>#REF!*Tablo1[[#This Row],[Esans]]</f>
        <v>#REF!</v>
      </c>
      <c r="K345" s="52" t="e">
        <f>#REF!*Tablo1[[#This Row],[Su]]</f>
        <v>#REF!</v>
      </c>
      <c r="L345" s="52" t="e">
        <f>#REF!*Tablo1[[#This Row],[Alkol]]</f>
        <v>#REF!</v>
      </c>
      <c r="M345" s="45"/>
      <c r="N345" s="52">
        <f>(Tablo1[[#This Row],[KALAN ESANS]]/Tablo1[[#This Row],[Esans]]*0.01)*(Tablo1[[#This Row],[Alkol]]*100)</f>
        <v>0</v>
      </c>
      <c r="O345" s="52">
        <f>(Tablo1[[#This Row],[KALAN ESANS]]/Tablo1[[#This Row],[Esans]]*0.01)*(Tablo1[[#This Row],[Su]]*100)</f>
        <v>0</v>
      </c>
      <c r="P345" s="52">
        <f>Tablo1[[#This Row],[KALAN ESANS]]+Tablo1[[#This Row],[ALKOL Mik]]+Tablo1[[#This Row],[SU Mik]]</f>
        <v>0</v>
      </c>
    </row>
    <row r="346" spans="1:16" ht="15" customHeight="1" x14ac:dyDescent="0.2">
      <c r="A346" s="19" t="s">
        <v>442</v>
      </c>
      <c r="B346" s="42"/>
      <c r="C346" s="2">
        <v>0.2</v>
      </c>
      <c r="D346" s="2">
        <v>0.02</v>
      </c>
      <c r="E346" s="8">
        <f t="shared" si="5"/>
        <v>0.78</v>
      </c>
      <c r="F346" s="5" t="s">
        <v>25</v>
      </c>
      <c r="G346" s="18" t="s">
        <v>769</v>
      </c>
      <c r="H346" s="58" t="e">
        <f>((Tablo1[[#This Row],[Esans Fiyat]]/#REF!*Tablo1[[#This Row],[Esans]]*100)+(#REF!/1000*Tablo1[[#This Row],[Su]]*100)+(#REF!/1000*Tablo1[[#This Row],[Alkol]]*100))*(#REF!/100)+#REF!</f>
        <v>#REF!</v>
      </c>
      <c r="I346" s="5" t="s">
        <v>776</v>
      </c>
      <c r="J346" s="52" t="e">
        <f>#REF!*Tablo1[[#This Row],[Esans]]</f>
        <v>#REF!</v>
      </c>
      <c r="K346" s="52" t="e">
        <f>#REF!*Tablo1[[#This Row],[Su]]</f>
        <v>#REF!</v>
      </c>
      <c r="L346" s="52" t="e">
        <f>#REF!*Tablo1[[#This Row],[Alkol]]</f>
        <v>#REF!</v>
      </c>
      <c r="M346" s="45"/>
      <c r="N346" s="52">
        <f>(Tablo1[[#This Row],[KALAN ESANS]]/Tablo1[[#This Row],[Esans]]*0.01)*(Tablo1[[#This Row],[Alkol]]*100)</f>
        <v>0</v>
      </c>
      <c r="O346" s="52">
        <f>(Tablo1[[#This Row],[KALAN ESANS]]/Tablo1[[#This Row],[Esans]]*0.01)*(Tablo1[[#This Row],[Su]]*100)</f>
        <v>0</v>
      </c>
      <c r="P346" s="52">
        <f>Tablo1[[#This Row],[KALAN ESANS]]+Tablo1[[#This Row],[ALKOL Mik]]+Tablo1[[#This Row],[SU Mik]]</f>
        <v>0</v>
      </c>
    </row>
    <row r="347" spans="1:16" ht="15" customHeight="1" x14ac:dyDescent="0.2">
      <c r="A347" s="19" t="s">
        <v>441</v>
      </c>
      <c r="B347" s="42"/>
      <c r="C347" s="2">
        <v>0.2</v>
      </c>
      <c r="D347" s="2">
        <v>0.02</v>
      </c>
      <c r="E347" s="8">
        <f t="shared" si="5"/>
        <v>0.78</v>
      </c>
      <c r="F347" s="5" t="s">
        <v>25</v>
      </c>
      <c r="G347" s="18" t="s">
        <v>769</v>
      </c>
      <c r="H347" s="58" t="e">
        <f>((Tablo1[[#This Row],[Esans Fiyat]]/#REF!*Tablo1[[#This Row],[Esans]]*100)+(#REF!/1000*Tablo1[[#This Row],[Su]]*100)+(#REF!/1000*Tablo1[[#This Row],[Alkol]]*100))*(#REF!/100)+#REF!</f>
        <v>#REF!</v>
      </c>
      <c r="I347" s="5" t="s">
        <v>776</v>
      </c>
      <c r="J347" s="52" t="e">
        <f>#REF!*Tablo1[[#This Row],[Esans]]</f>
        <v>#REF!</v>
      </c>
      <c r="K347" s="52" t="e">
        <f>#REF!*Tablo1[[#This Row],[Su]]</f>
        <v>#REF!</v>
      </c>
      <c r="L347" s="52" t="e">
        <f>#REF!*Tablo1[[#This Row],[Alkol]]</f>
        <v>#REF!</v>
      </c>
      <c r="M347" s="45"/>
      <c r="N347" s="52">
        <f>(Tablo1[[#This Row],[KALAN ESANS]]/Tablo1[[#This Row],[Esans]]*0.01)*(Tablo1[[#This Row],[Alkol]]*100)</f>
        <v>0</v>
      </c>
      <c r="O347" s="52">
        <f>(Tablo1[[#This Row],[KALAN ESANS]]/Tablo1[[#This Row],[Esans]]*0.01)*(Tablo1[[#This Row],[Su]]*100)</f>
        <v>0</v>
      </c>
      <c r="P347" s="52">
        <f>Tablo1[[#This Row],[KALAN ESANS]]+Tablo1[[#This Row],[ALKOL Mik]]+Tablo1[[#This Row],[SU Mik]]</f>
        <v>0</v>
      </c>
    </row>
    <row r="348" spans="1:16" ht="15" customHeight="1" x14ac:dyDescent="0.2">
      <c r="A348" s="19" t="s">
        <v>440</v>
      </c>
      <c r="B348" s="42"/>
      <c r="C348" s="2">
        <v>0.2</v>
      </c>
      <c r="D348" s="2">
        <v>0.02</v>
      </c>
      <c r="E348" s="8">
        <f t="shared" si="5"/>
        <v>0.78</v>
      </c>
      <c r="F348" s="5" t="s">
        <v>25</v>
      </c>
      <c r="G348" s="18" t="s">
        <v>769</v>
      </c>
      <c r="H348" s="58" t="e">
        <f>((Tablo1[[#This Row],[Esans Fiyat]]/#REF!*Tablo1[[#This Row],[Esans]]*100)+(#REF!/1000*Tablo1[[#This Row],[Su]]*100)+(#REF!/1000*Tablo1[[#This Row],[Alkol]]*100))*(#REF!/100)+#REF!</f>
        <v>#REF!</v>
      </c>
      <c r="I348" s="5" t="s">
        <v>776</v>
      </c>
      <c r="J348" s="52" t="e">
        <f>#REF!*Tablo1[[#This Row],[Esans]]</f>
        <v>#REF!</v>
      </c>
      <c r="K348" s="52" t="e">
        <f>#REF!*Tablo1[[#This Row],[Su]]</f>
        <v>#REF!</v>
      </c>
      <c r="L348" s="52" t="e">
        <f>#REF!*Tablo1[[#This Row],[Alkol]]</f>
        <v>#REF!</v>
      </c>
      <c r="M348" s="45"/>
      <c r="N348" s="52">
        <f>(Tablo1[[#This Row],[KALAN ESANS]]/Tablo1[[#This Row],[Esans]]*0.01)*(Tablo1[[#This Row],[Alkol]]*100)</f>
        <v>0</v>
      </c>
      <c r="O348" s="52">
        <f>(Tablo1[[#This Row],[KALAN ESANS]]/Tablo1[[#This Row],[Esans]]*0.01)*(Tablo1[[#This Row],[Su]]*100)</f>
        <v>0</v>
      </c>
      <c r="P348" s="52">
        <f>Tablo1[[#This Row],[KALAN ESANS]]+Tablo1[[#This Row],[ALKOL Mik]]+Tablo1[[#This Row],[SU Mik]]</f>
        <v>0</v>
      </c>
    </row>
    <row r="349" spans="1:16" ht="15" customHeight="1" x14ac:dyDescent="0.2">
      <c r="A349" s="19" t="s">
        <v>439</v>
      </c>
      <c r="B349" s="42"/>
      <c r="C349" s="2">
        <v>0.2</v>
      </c>
      <c r="D349" s="2">
        <v>0.02</v>
      </c>
      <c r="E349" s="8">
        <f t="shared" si="5"/>
        <v>0.78</v>
      </c>
      <c r="F349" s="5" t="s">
        <v>25</v>
      </c>
      <c r="G349" s="18" t="s">
        <v>769</v>
      </c>
      <c r="H349" s="58" t="e">
        <f>((Tablo1[[#This Row],[Esans Fiyat]]/#REF!*Tablo1[[#This Row],[Esans]]*100)+(#REF!/1000*Tablo1[[#This Row],[Su]]*100)+(#REF!/1000*Tablo1[[#This Row],[Alkol]]*100))*(#REF!/100)+#REF!</f>
        <v>#REF!</v>
      </c>
      <c r="I349" s="5" t="s">
        <v>776</v>
      </c>
      <c r="J349" s="52" t="e">
        <f>#REF!*Tablo1[[#This Row],[Esans]]</f>
        <v>#REF!</v>
      </c>
      <c r="K349" s="52" t="e">
        <f>#REF!*Tablo1[[#This Row],[Su]]</f>
        <v>#REF!</v>
      </c>
      <c r="L349" s="52" t="e">
        <f>#REF!*Tablo1[[#This Row],[Alkol]]</f>
        <v>#REF!</v>
      </c>
      <c r="M349" s="45"/>
      <c r="N349" s="52">
        <f>(Tablo1[[#This Row],[KALAN ESANS]]/Tablo1[[#This Row],[Esans]]*0.01)*(Tablo1[[#This Row],[Alkol]]*100)</f>
        <v>0</v>
      </c>
      <c r="O349" s="52">
        <f>(Tablo1[[#This Row],[KALAN ESANS]]/Tablo1[[#This Row],[Esans]]*0.01)*(Tablo1[[#This Row],[Su]]*100)</f>
        <v>0</v>
      </c>
      <c r="P349" s="52">
        <f>Tablo1[[#This Row],[KALAN ESANS]]+Tablo1[[#This Row],[ALKOL Mik]]+Tablo1[[#This Row],[SU Mik]]</f>
        <v>0</v>
      </c>
    </row>
    <row r="350" spans="1:16" ht="15" customHeight="1" x14ac:dyDescent="0.2">
      <c r="A350" s="19" t="s">
        <v>436</v>
      </c>
      <c r="B350" s="42"/>
      <c r="C350" s="2">
        <v>0.2</v>
      </c>
      <c r="D350" s="2">
        <v>0</v>
      </c>
      <c r="E350" s="8">
        <f t="shared" si="5"/>
        <v>0.8</v>
      </c>
      <c r="F350" s="5" t="s">
        <v>25</v>
      </c>
      <c r="G350" s="18" t="s">
        <v>769</v>
      </c>
      <c r="H350" s="58" t="e">
        <f>((Tablo1[[#This Row],[Esans Fiyat]]/#REF!*Tablo1[[#This Row],[Esans]]*100)+(#REF!/1000*Tablo1[[#This Row],[Su]]*100)+(#REF!/1000*Tablo1[[#This Row],[Alkol]]*100))*(#REF!/100)+#REF!</f>
        <v>#REF!</v>
      </c>
      <c r="I350" s="5" t="s">
        <v>776</v>
      </c>
      <c r="J350" s="52" t="e">
        <f>#REF!*Tablo1[[#This Row],[Esans]]</f>
        <v>#REF!</v>
      </c>
      <c r="K350" s="52" t="e">
        <f>#REF!*Tablo1[[#This Row],[Su]]</f>
        <v>#REF!</v>
      </c>
      <c r="L350" s="52" t="e">
        <f>#REF!*Tablo1[[#This Row],[Alkol]]</f>
        <v>#REF!</v>
      </c>
      <c r="M350" s="45"/>
      <c r="N350" s="52">
        <f>(Tablo1[[#This Row],[KALAN ESANS]]/Tablo1[[#This Row],[Esans]]*0.01)*(Tablo1[[#This Row],[Alkol]]*100)</f>
        <v>0</v>
      </c>
      <c r="O350" s="52">
        <f>(Tablo1[[#This Row],[KALAN ESANS]]/Tablo1[[#This Row],[Esans]]*0.01)*(Tablo1[[#This Row],[Su]]*100)</f>
        <v>0</v>
      </c>
      <c r="P350" s="52">
        <f>Tablo1[[#This Row],[KALAN ESANS]]+Tablo1[[#This Row],[ALKOL Mik]]+Tablo1[[#This Row],[SU Mik]]</f>
        <v>0</v>
      </c>
    </row>
    <row r="351" spans="1:16" ht="15" customHeight="1" x14ac:dyDescent="0.2">
      <c r="A351" s="19" t="s">
        <v>437</v>
      </c>
      <c r="B351" s="42"/>
      <c r="C351" s="2">
        <v>0.2</v>
      </c>
      <c r="D351" s="2">
        <v>0.02</v>
      </c>
      <c r="E351" s="8">
        <f t="shared" si="5"/>
        <v>0.78</v>
      </c>
      <c r="F351" s="5" t="s">
        <v>25</v>
      </c>
      <c r="G351" s="18" t="s">
        <v>769</v>
      </c>
      <c r="H351" s="58" t="e">
        <f>((Tablo1[[#This Row],[Esans Fiyat]]/#REF!*Tablo1[[#This Row],[Esans]]*100)+(#REF!/1000*Tablo1[[#This Row],[Su]]*100)+(#REF!/1000*Tablo1[[#This Row],[Alkol]]*100))*(#REF!/100)+#REF!</f>
        <v>#REF!</v>
      </c>
      <c r="I351" s="5" t="s">
        <v>776</v>
      </c>
      <c r="J351" s="52" t="e">
        <f>#REF!*Tablo1[[#This Row],[Esans]]</f>
        <v>#REF!</v>
      </c>
      <c r="K351" s="52" t="e">
        <f>#REF!*Tablo1[[#This Row],[Su]]</f>
        <v>#REF!</v>
      </c>
      <c r="L351" s="52" t="e">
        <f>#REF!*Tablo1[[#This Row],[Alkol]]</f>
        <v>#REF!</v>
      </c>
      <c r="M351" s="45"/>
      <c r="N351" s="52">
        <f>(Tablo1[[#This Row],[KALAN ESANS]]/Tablo1[[#This Row],[Esans]]*0.01)*(Tablo1[[#This Row],[Alkol]]*100)</f>
        <v>0</v>
      </c>
      <c r="O351" s="52">
        <f>(Tablo1[[#This Row],[KALAN ESANS]]/Tablo1[[#This Row],[Esans]]*0.01)*(Tablo1[[#This Row],[Su]]*100)</f>
        <v>0</v>
      </c>
      <c r="P351" s="52">
        <f>Tablo1[[#This Row],[KALAN ESANS]]+Tablo1[[#This Row],[ALKOL Mik]]+Tablo1[[#This Row],[SU Mik]]</f>
        <v>0</v>
      </c>
    </row>
    <row r="352" spans="1:16" ht="15" customHeight="1" x14ac:dyDescent="0.2">
      <c r="A352" s="19" t="s">
        <v>438</v>
      </c>
      <c r="B352" s="42"/>
      <c r="C352" s="2">
        <v>0.2</v>
      </c>
      <c r="D352" s="2">
        <v>0.02</v>
      </c>
      <c r="E352" s="8">
        <f t="shared" si="5"/>
        <v>0.78</v>
      </c>
      <c r="F352" s="5" t="s">
        <v>25</v>
      </c>
      <c r="G352" s="18" t="s">
        <v>769</v>
      </c>
      <c r="H352" s="58" t="e">
        <f>((Tablo1[[#This Row],[Esans Fiyat]]/#REF!*Tablo1[[#This Row],[Esans]]*100)+(#REF!/1000*Tablo1[[#This Row],[Su]]*100)+(#REF!/1000*Tablo1[[#This Row],[Alkol]]*100))*(#REF!/100)+#REF!</f>
        <v>#REF!</v>
      </c>
      <c r="I352" s="5" t="s">
        <v>776</v>
      </c>
      <c r="J352" s="52" t="e">
        <f>#REF!*Tablo1[[#This Row],[Esans]]</f>
        <v>#REF!</v>
      </c>
      <c r="K352" s="52" t="e">
        <f>#REF!*Tablo1[[#This Row],[Su]]</f>
        <v>#REF!</v>
      </c>
      <c r="L352" s="52" t="e">
        <f>#REF!*Tablo1[[#This Row],[Alkol]]</f>
        <v>#REF!</v>
      </c>
      <c r="M352" s="45"/>
      <c r="N352" s="52">
        <f>(Tablo1[[#This Row],[KALAN ESANS]]/Tablo1[[#This Row],[Esans]]*0.01)*(Tablo1[[#This Row],[Alkol]]*100)</f>
        <v>0</v>
      </c>
      <c r="O352" s="52">
        <f>(Tablo1[[#This Row],[KALAN ESANS]]/Tablo1[[#This Row],[Esans]]*0.01)*(Tablo1[[#This Row],[Su]]*100)</f>
        <v>0</v>
      </c>
      <c r="P352" s="52">
        <f>Tablo1[[#This Row],[KALAN ESANS]]+Tablo1[[#This Row],[ALKOL Mik]]+Tablo1[[#This Row],[SU Mik]]</f>
        <v>0</v>
      </c>
    </row>
    <row r="353" spans="1:16" ht="15" customHeight="1" x14ac:dyDescent="0.2">
      <c r="A353" s="19" t="s">
        <v>435</v>
      </c>
      <c r="B353" s="42"/>
      <c r="C353" s="2">
        <v>0.2</v>
      </c>
      <c r="D353" s="2">
        <v>0.02</v>
      </c>
      <c r="E353" s="8">
        <f t="shared" si="5"/>
        <v>0.78</v>
      </c>
      <c r="F353" s="5" t="s">
        <v>25</v>
      </c>
      <c r="G353" s="18" t="s">
        <v>769</v>
      </c>
      <c r="H353" s="58" t="e">
        <f>((Tablo1[[#This Row],[Esans Fiyat]]/#REF!*Tablo1[[#This Row],[Esans]]*100)+(#REF!/1000*Tablo1[[#This Row],[Su]]*100)+(#REF!/1000*Tablo1[[#This Row],[Alkol]]*100))*(#REF!/100)+#REF!</f>
        <v>#REF!</v>
      </c>
      <c r="I353" s="5" t="s">
        <v>776</v>
      </c>
      <c r="J353" s="52" t="e">
        <f>#REF!*Tablo1[[#This Row],[Esans]]</f>
        <v>#REF!</v>
      </c>
      <c r="K353" s="52" t="e">
        <f>#REF!*Tablo1[[#This Row],[Su]]</f>
        <v>#REF!</v>
      </c>
      <c r="L353" s="52" t="e">
        <f>#REF!*Tablo1[[#This Row],[Alkol]]</f>
        <v>#REF!</v>
      </c>
      <c r="M353" s="45"/>
      <c r="N353" s="52">
        <f>(Tablo1[[#This Row],[KALAN ESANS]]/Tablo1[[#This Row],[Esans]]*0.01)*(Tablo1[[#This Row],[Alkol]]*100)</f>
        <v>0</v>
      </c>
      <c r="O353" s="52">
        <f>(Tablo1[[#This Row],[KALAN ESANS]]/Tablo1[[#This Row],[Esans]]*0.01)*(Tablo1[[#This Row],[Su]]*100)</f>
        <v>0</v>
      </c>
      <c r="P353" s="52">
        <f>Tablo1[[#This Row],[KALAN ESANS]]+Tablo1[[#This Row],[ALKOL Mik]]+Tablo1[[#This Row],[SU Mik]]</f>
        <v>0</v>
      </c>
    </row>
    <row r="354" spans="1:16" ht="15" customHeight="1" x14ac:dyDescent="0.2">
      <c r="A354" s="19" t="s">
        <v>434</v>
      </c>
      <c r="B354" s="42"/>
      <c r="C354" s="2">
        <v>0.2</v>
      </c>
      <c r="D354" s="2">
        <v>0</v>
      </c>
      <c r="E354" s="8">
        <f t="shared" si="5"/>
        <v>0.8</v>
      </c>
      <c r="F354" s="5" t="s">
        <v>25</v>
      </c>
      <c r="G354" s="18" t="s">
        <v>769</v>
      </c>
      <c r="H354" s="58" t="e">
        <f>((Tablo1[[#This Row],[Esans Fiyat]]/#REF!*Tablo1[[#This Row],[Esans]]*100)+(#REF!/1000*Tablo1[[#This Row],[Su]]*100)+(#REF!/1000*Tablo1[[#This Row],[Alkol]]*100))*(#REF!/100)+#REF!</f>
        <v>#REF!</v>
      </c>
      <c r="I354" s="5" t="s">
        <v>776</v>
      </c>
      <c r="J354" s="52" t="e">
        <f>#REF!*Tablo1[[#This Row],[Esans]]</f>
        <v>#REF!</v>
      </c>
      <c r="K354" s="52" t="e">
        <f>#REF!*Tablo1[[#This Row],[Su]]</f>
        <v>#REF!</v>
      </c>
      <c r="L354" s="52" t="e">
        <f>#REF!*Tablo1[[#This Row],[Alkol]]</f>
        <v>#REF!</v>
      </c>
      <c r="M354" s="45"/>
      <c r="N354" s="52">
        <f>(Tablo1[[#This Row],[KALAN ESANS]]/Tablo1[[#This Row],[Esans]]*0.01)*(Tablo1[[#This Row],[Alkol]]*100)</f>
        <v>0</v>
      </c>
      <c r="O354" s="52">
        <f>(Tablo1[[#This Row],[KALAN ESANS]]/Tablo1[[#This Row],[Esans]]*0.01)*(Tablo1[[#This Row],[Su]]*100)</f>
        <v>0</v>
      </c>
      <c r="P354" s="52">
        <f>Tablo1[[#This Row],[KALAN ESANS]]+Tablo1[[#This Row],[ALKOL Mik]]+Tablo1[[#This Row],[SU Mik]]</f>
        <v>0</v>
      </c>
    </row>
    <row r="355" spans="1:16" ht="15" customHeight="1" x14ac:dyDescent="0.2">
      <c r="A355" s="19" t="s">
        <v>433</v>
      </c>
      <c r="B355" s="42"/>
      <c r="C355" s="2">
        <v>0.2</v>
      </c>
      <c r="D355" s="2">
        <v>0.02</v>
      </c>
      <c r="E355" s="8">
        <f t="shared" si="5"/>
        <v>0.78</v>
      </c>
      <c r="F355" s="5" t="s">
        <v>25</v>
      </c>
      <c r="G355" s="18" t="s">
        <v>769</v>
      </c>
      <c r="H355" s="58" t="e">
        <f>((Tablo1[[#This Row],[Esans Fiyat]]/#REF!*Tablo1[[#This Row],[Esans]]*100)+(#REF!/1000*Tablo1[[#This Row],[Su]]*100)+(#REF!/1000*Tablo1[[#This Row],[Alkol]]*100))*(#REF!/100)+#REF!</f>
        <v>#REF!</v>
      </c>
      <c r="I355" s="5" t="s">
        <v>776</v>
      </c>
      <c r="J355" s="52" t="e">
        <f>#REF!*Tablo1[[#This Row],[Esans]]</f>
        <v>#REF!</v>
      </c>
      <c r="K355" s="52" t="e">
        <f>#REF!*Tablo1[[#This Row],[Su]]</f>
        <v>#REF!</v>
      </c>
      <c r="L355" s="52" t="e">
        <f>#REF!*Tablo1[[#This Row],[Alkol]]</f>
        <v>#REF!</v>
      </c>
      <c r="M355" s="45"/>
      <c r="N355" s="52">
        <f>(Tablo1[[#This Row],[KALAN ESANS]]/Tablo1[[#This Row],[Esans]]*0.01)*(Tablo1[[#This Row],[Alkol]]*100)</f>
        <v>0</v>
      </c>
      <c r="O355" s="52">
        <f>(Tablo1[[#This Row],[KALAN ESANS]]/Tablo1[[#This Row],[Esans]]*0.01)*(Tablo1[[#This Row],[Su]]*100)</f>
        <v>0</v>
      </c>
      <c r="P355" s="52">
        <f>Tablo1[[#This Row],[KALAN ESANS]]+Tablo1[[#This Row],[ALKOL Mik]]+Tablo1[[#This Row],[SU Mik]]</f>
        <v>0</v>
      </c>
    </row>
    <row r="356" spans="1:16" ht="15" customHeight="1" x14ac:dyDescent="0.2">
      <c r="A356" s="19" t="s">
        <v>432</v>
      </c>
      <c r="B356" s="42"/>
      <c r="C356" s="2">
        <v>0.2</v>
      </c>
      <c r="D356" s="2">
        <v>0.02</v>
      </c>
      <c r="E356" s="8">
        <f t="shared" si="5"/>
        <v>0.78</v>
      </c>
      <c r="F356" s="5" t="s">
        <v>25</v>
      </c>
      <c r="G356" s="18" t="s">
        <v>769</v>
      </c>
      <c r="H356" s="58" t="e">
        <f>((Tablo1[[#This Row],[Esans Fiyat]]/#REF!*Tablo1[[#This Row],[Esans]]*100)+(#REF!/1000*Tablo1[[#This Row],[Su]]*100)+(#REF!/1000*Tablo1[[#This Row],[Alkol]]*100))*(#REF!/100)+#REF!</f>
        <v>#REF!</v>
      </c>
      <c r="I356" s="5" t="s">
        <v>772</v>
      </c>
      <c r="J356" s="52" t="e">
        <f>#REF!*Tablo1[[#This Row],[Esans]]</f>
        <v>#REF!</v>
      </c>
      <c r="K356" s="52" t="e">
        <f>#REF!*Tablo1[[#This Row],[Su]]</f>
        <v>#REF!</v>
      </c>
      <c r="L356" s="52" t="e">
        <f>#REF!*Tablo1[[#This Row],[Alkol]]</f>
        <v>#REF!</v>
      </c>
      <c r="M356" s="45"/>
      <c r="N356" s="52">
        <f>(Tablo1[[#This Row],[KALAN ESANS]]/Tablo1[[#This Row],[Esans]]*0.01)*(Tablo1[[#This Row],[Alkol]]*100)</f>
        <v>0</v>
      </c>
      <c r="O356" s="52">
        <f>(Tablo1[[#This Row],[KALAN ESANS]]/Tablo1[[#This Row],[Esans]]*0.01)*(Tablo1[[#This Row],[Su]]*100)</f>
        <v>0</v>
      </c>
      <c r="P356" s="52">
        <f>Tablo1[[#This Row],[KALAN ESANS]]+Tablo1[[#This Row],[ALKOL Mik]]+Tablo1[[#This Row],[SU Mik]]</f>
        <v>0</v>
      </c>
    </row>
    <row r="357" spans="1:16" ht="15" customHeight="1" x14ac:dyDescent="0.2">
      <c r="A357" s="19" t="s">
        <v>431</v>
      </c>
      <c r="B357" s="42"/>
      <c r="C357" s="2">
        <v>0.2</v>
      </c>
      <c r="D357" s="2">
        <v>0.02</v>
      </c>
      <c r="E357" s="8">
        <f t="shared" si="5"/>
        <v>0.78</v>
      </c>
      <c r="F357" s="5" t="s">
        <v>25</v>
      </c>
      <c r="G357" s="18" t="s">
        <v>769</v>
      </c>
      <c r="H357" s="58" t="e">
        <f>((Tablo1[[#This Row],[Esans Fiyat]]/#REF!*Tablo1[[#This Row],[Esans]]*100)+(#REF!/1000*Tablo1[[#This Row],[Su]]*100)+(#REF!/1000*Tablo1[[#This Row],[Alkol]]*100))*(#REF!/100)+#REF!</f>
        <v>#REF!</v>
      </c>
      <c r="I357" s="5" t="s">
        <v>776</v>
      </c>
      <c r="J357" s="52" t="e">
        <f>#REF!*Tablo1[[#This Row],[Esans]]</f>
        <v>#REF!</v>
      </c>
      <c r="K357" s="52" t="e">
        <f>#REF!*Tablo1[[#This Row],[Su]]</f>
        <v>#REF!</v>
      </c>
      <c r="L357" s="52" t="e">
        <f>#REF!*Tablo1[[#This Row],[Alkol]]</f>
        <v>#REF!</v>
      </c>
      <c r="M357" s="45"/>
      <c r="N357" s="52">
        <f>(Tablo1[[#This Row],[KALAN ESANS]]/Tablo1[[#This Row],[Esans]]*0.01)*(Tablo1[[#This Row],[Alkol]]*100)</f>
        <v>0</v>
      </c>
      <c r="O357" s="52">
        <f>(Tablo1[[#This Row],[KALAN ESANS]]/Tablo1[[#This Row],[Esans]]*0.01)*(Tablo1[[#This Row],[Su]]*100)</f>
        <v>0</v>
      </c>
      <c r="P357" s="52">
        <f>Tablo1[[#This Row],[KALAN ESANS]]+Tablo1[[#This Row],[ALKOL Mik]]+Tablo1[[#This Row],[SU Mik]]</f>
        <v>0</v>
      </c>
    </row>
    <row r="358" spans="1:16" ht="15" customHeight="1" x14ac:dyDescent="0.2">
      <c r="A358" s="19" t="s">
        <v>2</v>
      </c>
      <c r="B358" s="42"/>
      <c r="C358" s="2">
        <v>0.2</v>
      </c>
      <c r="D358" s="2">
        <v>0.02</v>
      </c>
      <c r="E358" s="8">
        <f t="shared" si="5"/>
        <v>0.78</v>
      </c>
      <c r="F358" s="5" t="s">
        <v>25</v>
      </c>
      <c r="G358" s="18" t="s">
        <v>769</v>
      </c>
      <c r="H358" s="58" t="e">
        <f>((Tablo1[[#This Row],[Esans Fiyat]]/#REF!*Tablo1[[#This Row],[Esans]]*100)+(#REF!/1000*Tablo1[[#This Row],[Su]]*100)+(#REF!/1000*Tablo1[[#This Row],[Alkol]]*100))*(#REF!/100)+#REF!</f>
        <v>#REF!</v>
      </c>
      <c r="I358" s="5" t="s">
        <v>776</v>
      </c>
      <c r="J358" s="52" t="e">
        <f>#REF!*Tablo1[[#This Row],[Esans]]</f>
        <v>#REF!</v>
      </c>
      <c r="K358" s="52" t="e">
        <f>#REF!*Tablo1[[#This Row],[Su]]</f>
        <v>#REF!</v>
      </c>
      <c r="L358" s="52" t="e">
        <f>#REF!*Tablo1[[#This Row],[Alkol]]</f>
        <v>#REF!</v>
      </c>
      <c r="M358" s="45"/>
      <c r="N358" s="52">
        <f>(Tablo1[[#This Row],[KALAN ESANS]]/Tablo1[[#This Row],[Esans]]*0.01)*(Tablo1[[#This Row],[Alkol]]*100)</f>
        <v>0</v>
      </c>
      <c r="O358" s="52">
        <f>(Tablo1[[#This Row],[KALAN ESANS]]/Tablo1[[#This Row],[Esans]]*0.01)*(Tablo1[[#This Row],[Su]]*100)</f>
        <v>0</v>
      </c>
      <c r="P358" s="52">
        <f>Tablo1[[#This Row],[KALAN ESANS]]+Tablo1[[#This Row],[ALKOL Mik]]+Tablo1[[#This Row],[SU Mik]]</f>
        <v>0</v>
      </c>
    </row>
    <row r="359" spans="1:16" ht="15" customHeight="1" x14ac:dyDescent="0.2">
      <c r="A359" s="19" t="s">
        <v>416</v>
      </c>
      <c r="B359" s="42"/>
      <c r="C359" s="2">
        <v>0.2</v>
      </c>
      <c r="D359" s="2">
        <v>0.02</v>
      </c>
      <c r="E359" s="8">
        <f t="shared" si="5"/>
        <v>0.78</v>
      </c>
      <c r="F359" s="5" t="s">
        <v>25</v>
      </c>
      <c r="G359" s="18" t="s">
        <v>769</v>
      </c>
      <c r="H359" s="58" t="e">
        <f>((Tablo1[[#This Row],[Esans Fiyat]]/#REF!*Tablo1[[#This Row],[Esans]]*100)+(#REF!/1000*Tablo1[[#This Row],[Su]]*100)+(#REF!/1000*Tablo1[[#This Row],[Alkol]]*100))*(#REF!/100)+#REF!</f>
        <v>#REF!</v>
      </c>
      <c r="I359" s="5" t="s">
        <v>776</v>
      </c>
      <c r="J359" s="52" t="e">
        <f>#REF!*Tablo1[[#This Row],[Esans]]</f>
        <v>#REF!</v>
      </c>
      <c r="K359" s="52" t="e">
        <f>#REF!*Tablo1[[#This Row],[Su]]</f>
        <v>#REF!</v>
      </c>
      <c r="L359" s="52" t="e">
        <f>#REF!*Tablo1[[#This Row],[Alkol]]</f>
        <v>#REF!</v>
      </c>
      <c r="M359" s="45"/>
      <c r="N359" s="52">
        <f>(Tablo1[[#This Row],[KALAN ESANS]]/Tablo1[[#This Row],[Esans]]*0.01)*(Tablo1[[#This Row],[Alkol]]*100)</f>
        <v>0</v>
      </c>
      <c r="O359" s="52">
        <f>(Tablo1[[#This Row],[KALAN ESANS]]/Tablo1[[#This Row],[Esans]]*0.01)*(Tablo1[[#This Row],[Su]]*100)</f>
        <v>0</v>
      </c>
      <c r="P359" s="52">
        <f>Tablo1[[#This Row],[KALAN ESANS]]+Tablo1[[#This Row],[ALKOL Mik]]+Tablo1[[#This Row],[SU Mik]]</f>
        <v>0</v>
      </c>
    </row>
    <row r="360" spans="1:16" ht="15" customHeight="1" x14ac:dyDescent="0.2">
      <c r="A360" s="19" t="s">
        <v>417</v>
      </c>
      <c r="B360" s="42"/>
      <c r="C360" s="2">
        <v>0.2</v>
      </c>
      <c r="D360" s="2">
        <v>0.02</v>
      </c>
      <c r="E360" s="8">
        <f t="shared" si="5"/>
        <v>0.78</v>
      </c>
      <c r="F360" s="5" t="s">
        <v>25</v>
      </c>
      <c r="G360" s="18" t="s">
        <v>769</v>
      </c>
      <c r="H360" s="58" t="e">
        <f>((Tablo1[[#This Row],[Esans Fiyat]]/#REF!*Tablo1[[#This Row],[Esans]]*100)+(#REF!/1000*Tablo1[[#This Row],[Su]]*100)+(#REF!/1000*Tablo1[[#This Row],[Alkol]]*100))*(#REF!/100)+#REF!</f>
        <v>#REF!</v>
      </c>
      <c r="I360" s="5" t="s">
        <v>772</v>
      </c>
      <c r="J360" s="52" t="e">
        <f>#REF!*Tablo1[[#This Row],[Esans]]</f>
        <v>#REF!</v>
      </c>
      <c r="K360" s="52" t="e">
        <f>#REF!*Tablo1[[#This Row],[Su]]</f>
        <v>#REF!</v>
      </c>
      <c r="L360" s="52" t="e">
        <f>#REF!*Tablo1[[#This Row],[Alkol]]</f>
        <v>#REF!</v>
      </c>
      <c r="M360" s="45"/>
      <c r="N360" s="52">
        <f>(Tablo1[[#This Row],[KALAN ESANS]]/Tablo1[[#This Row],[Esans]]*0.01)*(Tablo1[[#This Row],[Alkol]]*100)</f>
        <v>0</v>
      </c>
      <c r="O360" s="52">
        <f>(Tablo1[[#This Row],[KALAN ESANS]]/Tablo1[[#This Row],[Esans]]*0.01)*(Tablo1[[#This Row],[Su]]*100)</f>
        <v>0</v>
      </c>
      <c r="P360" s="52">
        <f>Tablo1[[#This Row],[KALAN ESANS]]+Tablo1[[#This Row],[ALKOL Mik]]+Tablo1[[#This Row],[SU Mik]]</f>
        <v>0</v>
      </c>
    </row>
    <row r="361" spans="1:16" ht="15" customHeight="1" x14ac:dyDescent="0.2">
      <c r="A361" s="19" t="s">
        <v>429</v>
      </c>
      <c r="B361" s="42"/>
      <c r="C361" s="2">
        <v>0.2</v>
      </c>
      <c r="D361" s="2">
        <v>0.02</v>
      </c>
      <c r="E361" s="8">
        <f t="shared" si="5"/>
        <v>0.78</v>
      </c>
      <c r="F361" s="5" t="s">
        <v>25</v>
      </c>
      <c r="G361" s="18" t="s">
        <v>769</v>
      </c>
      <c r="H361" s="58" t="e">
        <f>((Tablo1[[#This Row],[Esans Fiyat]]/#REF!*Tablo1[[#This Row],[Esans]]*100)+(#REF!/1000*Tablo1[[#This Row],[Su]]*100)+(#REF!/1000*Tablo1[[#This Row],[Alkol]]*100))*(#REF!/100)+#REF!</f>
        <v>#REF!</v>
      </c>
      <c r="I361" s="5" t="s">
        <v>776</v>
      </c>
      <c r="J361" s="52" t="e">
        <f>#REF!*Tablo1[[#This Row],[Esans]]</f>
        <v>#REF!</v>
      </c>
      <c r="K361" s="52" t="e">
        <f>#REF!*Tablo1[[#This Row],[Su]]</f>
        <v>#REF!</v>
      </c>
      <c r="L361" s="52" t="e">
        <f>#REF!*Tablo1[[#This Row],[Alkol]]</f>
        <v>#REF!</v>
      </c>
      <c r="M361" s="45"/>
      <c r="N361" s="52">
        <f>(Tablo1[[#This Row],[KALAN ESANS]]/Tablo1[[#This Row],[Esans]]*0.01)*(Tablo1[[#This Row],[Alkol]]*100)</f>
        <v>0</v>
      </c>
      <c r="O361" s="52">
        <f>(Tablo1[[#This Row],[KALAN ESANS]]/Tablo1[[#This Row],[Esans]]*0.01)*(Tablo1[[#This Row],[Su]]*100)</f>
        <v>0</v>
      </c>
      <c r="P361" s="52">
        <f>Tablo1[[#This Row],[KALAN ESANS]]+Tablo1[[#This Row],[ALKOL Mik]]+Tablo1[[#This Row],[SU Mik]]</f>
        <v>0</v>
      </c>
    </row>
    <row r="362" spans="1:16" ht="15" customHeight="1" x14ac:dyDescent="0.2">
      <c r="A362" s="19" t="s">
        <v>419</v>
      </c>
      <c r="B362" s="42"/>
      <c r="C362" s="2">
        <v>0.2</v>
      </c>
      <c r="D362" s="2">
        <v>0.02</v>
      </c>
      <c r="E362" s="8">
        <f t="shared" si="5"/>
        <v>0.78</v>
      </c>
      <c r="F362" s="5" t="s">
        <v>25</v>
      </c>
      <c r="G362" s="18" t="s">
        <v>769</v>
      </c>
      <c r="H362" s="58" t="e">
        <f>((Tablo1[[#This Row],[Esans Fiyat]]/#REF!*Tablo1[[#This Row],[Esans]]*100)+(#REF!/1000*Tablo1[[#This Row],[Su]]*100)+(#REF!/1000*Tablo1[[#This Row],[Alkol]]*100))*(#REF!/100)+#REF!</f>
        <v>#REF!</v>
      </c>
      <c r="I362" s="5" t="s">
        <v>776</v>
      </c>
      <c r="J362" s="52" t="e">
        <f>#REF!*Tablo1[[#This Row],[Esans]]</f>
        <v>#REF!</v>
      </c>
      <c r="K362" s="52" t="e">
        <f>#REF!*Tablo1[[#This Row],[Su]]</f>
        <v>#REF!</v>
      </c>
      <c r="L362" s="52" t="e">
        <f>#REF!*Tablo1[[#This Row],[Alkol]]</f>
        <v>#REF!</v>
      </c>
      <c r="M362" s="45"/>
      <c r="N362" s="52">
        <f>(Tablo1[[#This Row],[KALAN ESANS]]/Tablo1[[#This Row],[Esans]]*0.01)*(Tablo1[[#This Row],[Alkol]]*100)</f>
        <v>0</v>
      </c>
      <c r="O362" s="52">
        <f>(Tablo1[[#This Row],[KALAN ESANS]]/Tablo1[[#This Row],[Esans]]*0.01)*(Tablo1[[#This Row],[Su]]*100)</f>
        <v>0</v>
      </c>
      <c r="P362" s="52">
        <f>Tablo1[[#This Row],[KALAN ESANS]]+Tablo1[[#This Row],[ALKOL Mik]]+Tablo1[[#This Row],[SU Mik]]</f>
        <v>0</v>
      </c>
    </row>
    <row r="363" spans="1:16" ht="15" customHeight="1" x14ac:dyDescent="0.2">
      <c r="A363" s="19" t="s">
        <v>418</v>
      </c>
      <c r="B363" s="42"/>
      <c r="C363" s="2">
        <v>0.15</v>
      </c>
      <c r="D363" s="2">
        <v>0.02</v>
      </c>
      <c r="E363" s="8">
        <f t="shared" si="5"/>
        <v>0.83</v>
      </c>
      <c r="F363" s="5" t="s">
        <v>28</v>
      </c>
      <c r="G363" s="18" t="s">
        <v>769</v>
      </c>
      <c r="H363" s="58" t="e">
        <f>((Tablo1[[#This Row],[Esans Fiyat]]/#REF!*Tablo1[[#This Row],[Esans]]*100)+(#REF!/1000*Tablo1[[#This Row],[Su]]*100)+(#REF!/1000*Tablo1[[#This Row],[Alkol]]*100))*(#REF!/100)+#REF!</f>
        <v>#REF!</v>
      </c>
      <c r="I363" s="5" t="s">
        <v>776</v>
      </c>
      <c r="J363" s="52" t="e">
        <f>#REF!*Tablo1[[#This Row],[Esans]]</f>
        <v>#REF!</v>
      </c>
      <c r="K363" s="52" t="e">
        <f>#REF!*Tablo1[[#This Row],[Su]]</f>
        <v>#REF!</v>
      </c>
      <c r="L363" s="52" t="e">
        <f>#REF!*Tablo1[[#This Row],[Alkol]]</f>
        <v>#REF!</v>
      </c>
      <c r="M363" s="45"/>
      <c r="N363" s="52">
        <f>(Tablo1[[#This Row],[KALAN ESANS]]/Tablo1[[#This Row],[Esans]]*0.01)*(Tablo1[[#This Row],[Alkol]]*100)</f>
        <v>0</v>
      </c>
      <c r="O363" s="52">
        <f>(Tablo1[[#This Row],[KALAN ESANS]]/Tablo1[[#This Row],[Esans]]*0.01)*(Tablo1[[#This Row],[Su]]*100)</f>
        <v>0</v>
      </c>
      <c r="P363" s="52">
        <f>Tablo1[[#This Row],[KALAN ESANS]]+Tablo1[[#This Row],[ALKOL Mik]]+Tablo1[[#This Row],[SU Mik]]</f>
        <v>0</v>
      </c>
    </row>
    <row r="364" spans="1:16" ht="15" customHeight="1" x14ac:dyDescent="0.2">
      <c r="A364" s="19" t="s">
        <v>421</v>
      </c>
      <c r="B364" s="42"/>
      <c r="C364" s="2">
        <v>0.15</v>
      </c>
      <c r="D364" s="2">
        <v>0.02</v>
      </c>
      <c r="E364" s="8">
        <f t="shared" si="5"/>
        <v>0.83</v>
      </c>
      <c r="F364" s="5" t="s">
        <v>28</v>
      </c>
      <c r="G364" s="18" t="s">
        <v>769</v>
      </c>
      <c r="H364" s="58" t="e">
        <f>((Tablo1[[#This Row],[Esans Fiyat]]/#REF!*Tablo1[[#This Row],[Esans]]*100)+(#REF!/1000*Tablo1[[#This Row],[Su]]*100)+(#REF!/1000*Tablo1[[#This Row],[Alkol]]*100))*(#REF!/100)+#REF!</f>
        <v>#REF!</v>
      </c>
      <c r="I364" s="5" t="s">
        <v>776</v>
      </c>
      <c r="J364" s="52" t="e">
        <f>#REF!*Tablo1[[#This Row],[Esans]]</f>
        <v>#REF!</v>
      </c>
      <c r="K364" s="52" t="e">
        <f>#REF!*Tablo1[[#This Row],[Su]]</f>
        <v>#REF!</v>
      </c>
      <c r="L364" s="52" t="e">
        <f>#REF!*Tablo1[[#This Row],[Alkol]]</f>
        <v>#REF!</v>
      </c>
      <c r="M364" s="45"/>
      <c r="N364" s="52">
        <f>(Tablo1[[#This Row],[KALAN ESANS]]/Tablo1[[#This Row],[Esans]]*0.01)*(Tablo1[[#This Row],[Alkol]]*100)</f>
        <v>0</v>
      </c>
      <c r="O364" s="52">
        <f>(Tablo1[[#This Row],[KALAN ESANS]]/Tablo1[[#This Row],[Esans]]*0.01)*(Tablo1[[#This Row],[Su]]*100)</f>
        <v>0</v>
      </c>
      <c r="P364" s="52">
        <f>Tablo1[[#This Row],[KALAN ESANS]]+Tablo1[[#This Row],[ALKOL Mik]]+Tablo1[[#This Row],[SU Mik]]</f>
        <v>0</v>
      </c>
    </row>
    <row r="365" spans="1:16" ht="15" customHeight="1" x14ac:dyDescent="0.2">
      <c r="A365" s="19" t="s">
        <v>422</v>
      </c>
      <c r="B365" s="42"/>
      <c r="C365" s="2">
        <v>0.2</v>
      </c>
      <c r="D365" s="2">
        <v>0.02</v>
      </c>
      <c r="E365" s="8">
        <f t="shared" si="5"/>
        <v>0.78</v>
      </c>
      <c r="F365" s="5" t="s">
        <v>25</v>
      </c>
      <c r="G365" s="18" t="s">
        <v>769</v>
      </c>
      <c r="H365" s="58" t="e">
        <f>((Tablo1[[#This Row],[Esans Fiyat]]/#REF!*Tablo1[[#This Row],[Esans]]*100)+(#REF!/1000*Tablo1[[#This Row],[Su]]*100)+(#REF!/1000*Tablo1[[#This Row],[Alkol]]*100))*(#REF!/100)+#REF!</f>
        <v>#REF!</v>
      </c>
      <c r="I365" s="5" t="s">
        <v>776</v>
      </c>
      <c r="J365" s="52" t="e">
        <f>#REF!*Tablo1[[#This Row],[Esans]]</f>
        <v>#REF!</v>
      </c>
      <c r="K365" s="52" t="e">
        <f>#REF!*Tablo1[[#This Row],[Su]]</f>
        <v>#REF!</v>
      </c>
      <c r="L365" s="52" t="e">
        <f>#REF!*Tablo1[[#This Row],[Alkol]]</f>
        <v>#REF!</v>
      </c>
      <c r="M365" s="45"/>
      <c r="N365" s="52">
        <f>(Tablo1[[#This Row],[KALAN ESANS]]/Tablo1[[#This Row],[Esans]]*0.01)*(Tablo1[[#This Row],[Alkol]]*100)</f>
        <v>0</v>
      </c>
      <c r="O365" s="52">
        <f>(Tablo1[[#This Row],[KALAN ESANS]]/Tablo1[[#This Row],[Esans]]*0.01)*(Tablo1[[#This Row],[Su]]*100)</f>
        <v>0</v>
      </c>
      <c r="P365" s="52">
        <f>Tablo1[[#This Row],[KALAN ESANS]]+Tablo1[[#This Row],[ALKOL Mik]]+Tablo1[[#This Row],[SU Mik]]</f>
        <v>0</v>
      </c>
    </row>
    <row r="366" spans="1:16" ht="15" customHeight="1" x14ac:dyDescent="0.2">
      <c r="A366" s="19" t="s">
        <v>420</v>
      </c>
      <c r="B366" s="42"/>
      <c r="C366" s="2">
        <v>0.2</v>
      </c>
      <c r="D366" s="2">
        <v>0.02</v>
      </c>
      <c r="E366" s="8">
        <f t="shared" si="5"/>
        <v>0.78</v>
      </c>
      <c r="F366" s="5" t="s">
        <v>25</v>
      </c>
      <c r="G366" s="18" t="s">
        <v>769</v>
      </c>
      <c r="H366" s="58" t="e">
        <f>((Tablo1[[#This Row],[Esans Fiyat]]/#REF!*Tablo1[[#This Row],[Esans]]*100)+(#REF!/1000*Tablo1[[#This Row],[Su]]*100)+(#REF!/1000*Tablo1[[#This Row],[Alkol]]*100))*(#REF!/100)+#REF!</f>
        <v>#REF!</v>
      </c>
      <c r="I366" s="5" t="s">
        <v>776</v>
      </c>
      <c r="J366" s="52" t="e">
        <f>#REF!*Tablo1[[#This Row],[Esans]]</f>
        <v>#REF!</v>
      </c>
      <c r="K366" s="52" t="e">
        <f>#REF!*Tablo1[[#This Row],[Su]]</f>
        <v>#REF!</v>
      </c>
      <c r="L366" s="52" t="e">
        <f>#REF!*Tablo1[[#This Row],[Alkol]]</f>
        <v>#REF!</v>
      </c>
      <c r="M366" s="45"/>
      <c r="N366" s="52">
        <f>(Tablo1[[#This Row],[KALAN ESANS]]/Tablo1[[#This Row],[Esans]]*0.01)*(Tablo1[[#This Row],[Alkol]]*100)</f>
        <v>0</v>
      </c>
      <c r="O366" s="52">
        <f>(Tablo1[[#This Row],[KALAN ESANS]]/Tablo1[[#This Row],[Esans]]*0.01)*(Tablo1[[#This Row],[Su]]*100)</f>
        <v>0</v>
      </c>
      <c r="P366" s="52">
        <f>Tablo1[[#This Row],[KALAN ESANS]]+Tablo1[[#This Row],[ALKOL Mik]]+Tablo1[[#This Row],[SU Mik]]</f>
        <v>0</v>
      </c>
    </row>
    <row r="367" spans="1:16" ht="15" customHeight="1" x14ac:dyDescent="0.2">
      <c r="A367" s="19" t="s">
        <v>430</v>
      </c>
      <c r="B367" s="42"/>
      <c r="C367" s="2">
        <v>0.2</v>
      </c>
      <c r="D367" s="2">
        <v>0.02</v>
      </c>
      <c r="E367" s="8">
        <f t="shared" si="5"/>
        <v>0.78</v>
      </c>
      <c r="F367" s="5" t="s">
        <v>25</v>
      </c>
      <c r="G367" s="18" t="s">
        <v>769</v>
      </c>
      <c r="H367" s="58" t="e">
        <f>((Tablo1[[#This Row],[Esans Fiyat]]/#REF!*Tablo1[[#This Row],[Esans]]*100)+(#REF!/1000*Tablo1[[#This Row],[Su]]*100)+(#REF!/1000*Tablo1[[#This Row],[Alkol]]*100))*(#REF!/100)+#REF!</f>
        <v>#REF!</v>
      </c>
      <c r="I367" s="5" t="s">
        <v>778</v>
      </c>
      <c r="J367" s="52" t="e">
        <f>#REF!*Tablo1[[#This Row],[Esans]]</f>
        <v>#REF!</v>
      </c>
      <c r="K367" s="52" t="e">
        <f>#REF!*Tablo1[[#This Row],[Su]]</f>
        <v>#REF!</v>
      </c>
      <c r="L367" s="52" t="e">
        <f>#REF!*Tablo1[[#This Row],[Alkol]]</f>
        <v>#REF!</v>
      </c>
      <c r="M367" s="45"/>
      <c r="N367" s="52">
        <f>(Tablo1[[#This Row],[KALAN ESANS]]/Tablo1[[#This Row],[Esans]]*0.01)*(Tablo1[[#This Row],[Alkol]]*100)</f>
        <v>0</v>
      </c>
      <c r="O367" s="52">
        <f>(Tablo1[[#This Row],[KALAN ESANS]]/Tablo1[[#This Row],[Esans]]*0.01)*(Tablo1[[#This Row],[Su]]*100)</f>
        <v>0</v>
      </c>
      <c r="P367" s="52">
        <f>Tablo1[[#This Row],[KALAN ESANS]]+Tablo1[[#This Row],[ALKOL Mik]]+Tablo1[[#This Row],[SU Mik]]</f>
        <v>0</v>
      </c>
    </row>
    <row r="368" spans="1:16" ht="15" customHeight="1" x14ac:dyDescent="0.2">
      <c r="A368" s="19" t="s">
        <v>425</v>
      </c>
      <c r="B368" s="42"/>
      <c r="C368" s="2">
        <v>0.2</v>
      </c>
      <c r="D368" s="2">
        <v>0.02</v>
      </c>
      <c r="E368" s="8">
        <f t="shared" si="5"/>
        <v>0.78</v>
      </c>
      <c r="F368" s="5" t="s">
        <v>25</v>
      </c>
      <c r="G368" s="18" t="s">
        <v>769</v>
      </c>
      <c r="H368" s="58" t="e">
        <f>((Tablo1[[#This Row],[Esans Fiyat]]/#REF!*Tablo1[[#This Row],[Esans]]*100)+(#REF!/1000*Tablo1[[#This Row],[Su]]*100)+(#REF!/1000*Tablo1[[#This Row],[Alkol]]*100))*(#REF!/100)+#REF!</f>
        <v>#REF!</v>
      </c>
      <c r="I368" s="5" t="s">
        <v>776</v>
      </c>
      <c r="J368" s="52" t="e">
        <f>#REF!*Tablo1[[#This Row],[Esans]]</f>
        <v>#REF!</v>
      </c>
      <c r="K368" s="52" t="e">
        <f>#REF!*Tablo1[[#This Row],[Su]]</f>
        <v>#REF!</v>
      </c>
      <c r="L368" s="52" t="e">
        <f>#REF!*Tablo1[[#This Row],[Alkol]]</f>
        <v>#REF!</v>
      </c>
      <c r="M368" s="45"/>
      <c r="N368" s="52">
        <f>(Tablo1[[#This Row],[KALAN ESANS]]/Tablo1[[#This Row],[Esans]]*0.01)*(Tablo1[[#This Row],[Alkol]]*100)</f>
        <v>0</v>
      </c>
      <c r="O368" s="52">
        <f>(Tablo1[[#This Row],[KALAN ESANS]]/Tablo1[[#This Row],[Esans]]*0.01)*(Tablo1[[#This Row],[Su]]*100)</f>
        <v>0</v>
      </c>
      <c r="P368" s="52">
        <f>Tablo1[[#This Row],[KALAN ESANS]]+Tablo1[[#This Row],[ALKOL Mik]]+Tablo1[[#This Row],[SU Mik]]</f>
        <v>0</v>
      </c>
    </row>
    <row r="369" spans="1:16" ht="15" customHeight="1" x14ac:dyDescent="0.2">
      <c r="A369" s="19" t="s">
        <v>427</v>
      </c>
      <c r="B369" s="42"/>
      <c r="C369" s="2">
        <v>0.15</v>
      </c>
      <c r="D369" s="2">
        <v>0.02</v>
      </c>
      <c r="E369" s="8">
        <f t="shared" si="5"/>
        <v>0.83</v>
      </c>
      <c r="F369" s="5" t="s">
        <v>28</v>
      </c>
      <c r="G369" s="18" t="s">
        <v>769</v>
      </c>
      <c r="H369" s="58" t="e">
        <f>((Tablo1[[#This Row],[Esans Fiyat]]/#REF!*Tablo1[[#This Row],[Esans]]*100)+(#REF!/1000*Tablo1[[#This Row],[Su]]*100)+(#REF!/1000*Tablo1[[#This Row],[Alkol]]*100))*(#REF!/100)+#REF!</f>
        <v>#REF!</v>
      </c>
      <c r="I369" s="5" t="s">
        <v>776</v>
      </c>
      <c r="J369" s="52" t="e">
        <f>#REF!*Tablo1[[#This Row],[Esans]]</f>
        <v>#REF!</v>
      </c>
      <c r="K369" s="52" t="e">
        <f>#REF!*Tablo1[[#This Row],[Su]]</f>
        <v>#REF!</v>
      </c>
      <c r="L369" s="52" t="e">
        <f>#REF!*Tablo1[[#This Row],[Alkol]]</f>
        <v>#REF!</v>
      </c>
      <c r="M369" s="45"/>
      <c r="N369" s="52">
        <f>(Tablo1[[#This Row],[KALAN ESANS]]/Tablo1[[#This Row],[Esans]]*0.01)*(Tablo1[[#This Row],[Alkol]]*100)</f>
        <v>0</v>
      </c>
      <c r="O369" s="52">
        <f>(Tablo1[[#This Row],[KALAN ESANS]]/Tablo1[[#This Row],[Esans]]*0.01)*(Tablo1[[#This Row],[Su]]*100)</f>
        <v>0</v>
      </c>
      <c r="P369" s="52">
        <f>Tablo1[[#This Row],[KALAN ESANS]]+Tablo1[[#This Row],[ALKOL Mik]]+Tablo1[[#This Row],[SU Mik]]</f>
        <v>0</v>
      </c>
    </row>
    <row r="370" spans="1:16" ht="15" customHeight="1" x14ac:dyDescent="0.2">
      <c r="A370" s="19" t="s">
        <v>423</v>
      </c>
      <c r="B370" s="42"/>
      <c r="C370" s="2">
        <v>0.2</v>
      </c>
      <c r="D370" s="2">
        <v>0.02</v>
      </c>
      <c r="E370" s="8">
        <f t="shared" si="5"/>
        <v>0.78</v>
      </c>
      <c r="F370" s="5" t="s">
        <v>25</v>
      </c>
      <c r="G370" s="18" t="s">
        <v>769</v>
      </c>
      <c r="H370" s="58" t="e">
        <f>((Tablo1[[#This Row],[Esans Fiyat]]/#REF!*Tablo1[[#This Row],[Esans]]*100)+(#REF!/1000*Tablo1[[#This Row],[Su]]*100)+(#REF!/1000*Tablo1[[#This Row],[Alkol]]*100))*(#REF!/100)+#REF!</f>
        <v>#REF!</v>
      </c>
      <c r="I370" s="5" t="s">
        <v>776</v>
      </c>
      <c r="J370" s="52" t="e">
        <f>#REF!*Tablo1[[#This Row],[Esans]]</f>
        <v>#REF!</v>
      </c>
      <c r="K370" s="52" t="e">
        <f>#REF!*Tablo1[[#This Row],[Su]]</f>
        <v>#REF!</v>
      </c>
      <c r="L370" s="52" t="e">
        <f>#REF!*Tablo1[[#This Row],[Alkol]]</f>
        <v>#REF!</v>
      </c>
      <c r="M370" s="45"/>
      <c r="N370" s="52">
        <f>(Tablo1[[#This Row],[KALAN ESANS]]/Tablo1[[#This Row],[Esans]]*0.01)*(Tablo1[[#This Row],[Alkol]]*100)</f>
        <v>0</v>
      </c>
      <c r="O370" s="52">
        <f>(Tablo1[[#This Row],[KALAN ESANS]]/Tablo1[[#This Row],[Esans]]*0.01)*(Tablo1[[#This Row],[Su]]*100)</f>
        <v>0</v>
      </c>
      <c r="P370" s="52">
        <f>Tablo1[[#This Row],[KALAN ESANS]]+Tablo1[[#This Row],[ALKOL Mik]]+Tablo1[[#This Row],[SU Mik]]</f>
        <v>0</v>
      </c>
    </row>
    <row r="371" spans="1:16" ht="15" customHeight="1" x14ac:dyDescent="0.2">
      <c r="A371" s="19" t="s">
        <v>426</v>
      </c>
      <c r="B371" s="42"/>
      <c r="C371" s="2">
        <v>0.2</v>
      </c>
      <c r="D371" s="2">
        <v>0.02</v>
      </c>
      <c r="E371" s="8">
        <f t="shared" si="5"/>
        <v>0.78</v>
      </c>
      <c r="F371" s="5" t="s">
        <v>25</v>
      </c>
      <c r="G371" s="18" t="s">
        <v>769</v>
      </c>
      <c r="H371" s="58" t="e">
        <f>((Tablo1[[#This Row],[Esans Fiyat]]/#REF!*Tablo1[[#This Row],[Esans]]*100)+(#REF!/1000*Tablo1[[#This Row],[Su]]*100)+(#REF!/1000*Tablo1[[#This Row],[Alkol]]*100))*(#REF!/100)+#REF!</f>
        <v>#REF!</v>
      </c>
      <c r="I371" s="5" t="s">
        <v>776</v>
      </c>
      <c r="J371" s="52" t="e">
        <f>#REF!*Tablo1[[#This Row],[Esans]]</f>
        <v>#REF!</v>
      </c>
      <c r="K371" s="52" t="e">
        <f>#REF!*Tablo1[[#This Row],[Su]]</f>
        <v>#REF!</v>
      </c>
      <c r="L371" s="52" t="e">
        <f>#REF!*Tablo1[[#This Row],[Alkol]]</f>
        <v>#REF!</v>
      </c>
      <c r="M371" s="45"/>
      <c r="N371" s="52">
        <f>(Tablo1[[#This Row],[KALAN ESANS]]/Tablo1[[#This Row],[Esans]]*0.01)*(Tablo1[[#This Row],[Alkol]]*100)</f>
        <v>0</v>
      </c>
      <c r="O371" s="52">
        <f>(Tablo1[[#This Row],[KALAN ESANS]]/Tablo1[[#This Row],[Esans]]*0.01)*(Tablo1[[#This Row],[Su]]*100)</f>
        <v>0</v>
      </c>
      <c r="P371" s="52">
        <f>Tablo1[[#This Row],[KALAN ESANS]]+Tablo1[[#This Row],[ALKOL Mik]]+Tablo1[[#This Row],[SU Mik]]</f>
        <v>0</v>
      </c>
    </row>
    <row r="372" spans="1:16" ht="15" customHeight="1" x14ac:dyDescent="0.2">
      <c r="A372" s="19" t="s">
        <v>424</v>
      </c>
      <c r="B372" s="42"/>
      <c r="C372" s="2">
        <v>0.2</v>
      </c>
      <c r="D372" s="2">
        <v>0.02</v>
      </c>
      <c r="E372" s="8">
        <f t="shared" si="5"/>
        <v>0.78</v>
      </c>
      <c r="F372" s="5" t="s">
        <v>25</v>
      </c>
      <c r="G372" s="18" t="s">
        <v>769</v>
      </c>
      <c r="H372" s="58" t="e">
        <f>((Tablo1[[#This Row],[Esans Fiyat]]/#REF!*Tablo1[[#This Row],[Esans]]*100)+(#REF!/1000*Tablo1[[#This Row],[Su]]*100)+(#REF!/1000*Tablo1[[#This Row],[Alkol]]*100))*(#REF!/100)+#REF!</f>
        <v>#REF!</v>
      </c>
      <c r="I372" s="5" t="s">
        <v>776</v>
      </c>
      <c r="J372" s="52" t="e">
        <f>#REF!*Tablo1[[#This Row],[Esans]]</f>
        <v>#REF!</v>
      </c>
      <c r="K372" s="52" t="e">
        <f>#REF!*Tablo1[[#This Row],[Su]]</f>
        <v>#REF!</v>
      </c>
      <c r="L372" s="52" t="e">
        <f>#REF!*Tablo1[[#This Row],[Alkol]]</f>
        <v>#REF!</v>
      </c>
      <c r="M372" s="45"/>
      <c r="N372" s="52">
        <f>(Tablo1[[#This Row],[KALAN ESANS]]/Tablo1[[#This Row],[Esans]]*0.01)*(Tablo1[[#This Row],[Alkol]]*100)</f>
        <v>0</v>
      </c>
      <c r="O372" s="52">
        <f>(Tablo1[[#This Row],[KALAN ESANS]]/Tablo1[[#This Row],[Esans]]*0.01)*(Tablo1[[#This Row],[Su]]*100)</f>
        <v>0</v>
      </c>
      <c r="P372" s="52">
        <f>Tablo1[[#This Row],[KALAN ESANS]]+Tablo1[[#This Row],[ALKOL Mik]]+Tablo1[[#This Row],[SU Mik]]</f>
        <v>0</v>
      </c>
    </row>
    <row r="373" spans="1:16" ht="15" customHeight="1" x14ac:dyDescent="0.2">
      <c r="A373" s="19" t="s">
        <v>428</v>
      </c>
      <c r="B373" s="42"/>
      <c r="C373" s="2">
        <v>0.2</v>
      </c>
      <c r="D373" s="2">
        <v>0.02</v>
      </c>
      <c r="E373" s="8">
        <f t="shared" si="5"/>
        <v>0.78</v>
      </c>
      <c r="F373" s="5" t="s">
        <v>25</v>
      </c>
      <c r="G373" s="18" t="s">
        <v>769</v>
      </c>
      <c r="H373" s="58" t="e">
        <f>((Tablo1[[#This Row],[Esans Fiyat]]/#REF!*Tablo1[[#This Row],[Esans]]*100)+(#REF!/1000*Tablo1[[#This Row],[Su]]*100)+(#REF!/1000*Tablo1[[#This Row],[Alkol]]*100))*(#REF!/100)+#REF!</f>
        <v>#REF!</v>
      </c>
      <c r="I373" s="5" t="s">
        <v>776</v>
      </c>
      <c r="J373" s="52" t="e">
        <f>#REF!*Tablo1[[#This Row],[Esans]]</f>
        <v>#REF!</v>
      </c>
      <c r="K373" s="52" t="e">
        <f>#REF!*Tablo1[[#This Row],[Su]]</f>
        <v>#REF!</v>
      </c>
      <c r="L373" s="52" t="e">
        <f>#REF!*Tablo1[[#This Row],[Alkol]]</f>
        <v>#REF!</v>
      </c>
      <c r="M373" s="45"/>
      <c r="N373" s="52">
        <f>(Tablo1[[#This Row],[KALAN ESANS]]/Tablo1[[#This Row],[Esans]]*0.01)*(Tablo1[[#This Row],[Alkol]]*100)</f>
        <v>0</v>
      </c>
      <c r="O373" s="52">
        <f>(Tablo1[[#This Row],[KALAN ESANS]]/Tablo1[[#This Row],[Esans]]*0.01)*(Tablo1[[#This Row],[Su]]*100)</f>
        <v>0</v>
      </c>
      <c r="P373" s="52">
        <f>Tablo1[[#This Row],[KALAN ESANS]]+Tablo1[[#This Row],[ALKOL Mik]]+Tablo1[[#This Row],[SU Mik]]</f>
        <v>0</v>
      </c>
    </row>
    <row r="374" spans="1:16" ht="15" customHeight="1" x14ac:dyDescent="0.2">
      <c r="A374" s="19" t="s">
        <v>414</v>
      </c>
      <c r="B374" s="42"/>
      <c r="C374" s="2">
        <v>0.2</v>
      </c>
      <c r="D374" s="2">
        <v>0.02</v>
      </c>
      <c r="E374" s="8">
        <f t="shared" si="5"/>
        <v>0.78</v>
      </c>
      <c r="F374" s="5" t="s">
        <v>25</v>
      </c>
      <c r="G374" s="18" t="s">
        <v>769</v>
      </c>
      <c r="H374" s="58" t="e">
        <f>((Tablo1[[#This Row],[Esans Fiyat]]/#REF!*Tablo1[[#This Row],[Esans]]*100)+(#REF!/1000*Tablo1[[#This Row],[Su]]*100)+(#REF!/1000*Tablo1[[#This Row],[Alkol]]*100))*(#REF!/100)+#REF!</f>
        <v>#REF!</v>
      </c>
      <c r="I374" s="5" t="s">
        <v>776</v>
      </c>
      <c r="J374" s="52" t="e">
        <f>#REF!*Tablo1[[#This Row],[Esans]]</f>
        <v>#REF!</v>
      </c>
      <c r="K374" s="52" t="e">
        <f>#REF!*Tablo1[[#This Row],[Su]]</f>
        <v>#REF!</v>
      </c>
      <c r="L374" s="52" t="e">
        <f>#REF!*Tablo1[[#This Row],[Alkol]]</f>
        <v>#REF!</v>
      </c>
      <c r="M374" s="45"/>
      <c r="N374" s="52">
        <f>(Tablo1[[#This Row],[KALAN ESANS]]/Tablo1[[#This Row],[Esans]]*0.01)*(Tablo1[[#This Row],[Alkol]]*100)</f>
        <v>0</v>
      </c>
      <c r="O374" s="52">
        <f>(Tablo1[[#This Row],[KALAN ESANS]]/Tablo1[[#This Row],[Esans]]*0.01)*(Tablo1[[#This Row],[Su]]*100)</f>
        <v>0</v>
      </c>
      <c r="P374" s="52">
        <f>Tablo1[[#This Row],[KALAN ESANS]]+Tablo1[[#This Row],[ALKOL Mik]]+Tablo1[[#This Row],[SU Mik]]</f>
        <v>0</v>
      </c>
    </row>
    <row r="375" spans="1:16" ht="15" customHeight="1" x14ac:dyDescent="0.2">
      <c r="A375" s="19" t="s">
        <v>415</v>
      </c>
      <c r="B375" s="42"/>
      <c r="C375" s="2">
        <v>0.15</v>
      </c>
      <c r="D375" s="2">
        <v>0.02</v>
      </c>
      <c r="E375" s="8">
        <f t="shared" si="5"/>
        <v>0.83</v>
      </c>
      <c r="F375" s="5" t="s">
        <v>28</v>
      </c>
      <c r="G375" s="18" t="s">
        <v>769</v>
      </c>
      <c r="H375" s="58" t="e">
        <f>((Tablo1[[#This Row],[Esans Fiyat]]/#REF!*Tablo1[[#This Row],[Esans]]*100)+(#REF!/1000*Tablo1[[#This Row],[Su]]*100)+(#REF!/1000*Tablo1[[#This Row],[Alkol]]*100))*(#REF!/100)+#REF!</f>
        <v>#REF!</v>
      </c>
      <c r="I375" s="5" t="s">
        <v>776</v>
      </c>
      <c r="J375" s="52" t="e">
        <f>#REF!*Tablo1[[#This Row],[Esans]]</f>
        <v>#REF!</v>
      </c>
      <c r="K375" s="52" t="e">
        <f>#REF!*Tablo1[[#This Row],[Su]]</f>
        <v>#REF!</v>
      </c>
      <c r="L375" s="52" t="e">
        <f>#REF!*Tablo1[[#This Row],[Alkol]]</f>
        <v>#REF!</v>
      </c>
      <c r="M375" s="45"/>
      <c r="N375" s="52">
        <f>(Tablo1[[#This Row],[KALAN ESANS]]/Tablo1[[#This Row],[Esans]]*0.01)*(Tablo1[[#This Row],[Alkol]]*100)</f>
        <v>0</v>
      </c>
      <c r="O375" s="52">
        <f>(Tablo1[[#This Row],[KALAN ESANS]]/Tablo1[[#This Row],[Esans]]*0.01)*(Tablo1[[#This Row],[Su]]*100)</f>
        <v>0</v>
      </c>
      <c r="P375" s="52">
        <f>Tablo1[[#This Row],[KALAN ESANS]]+Tablo1[[#This Row],[ALKOL Mik]]+Tablo1[[#This Row],[SU Mik]]</f>
        <v>0</v>
      </c>
    </row>
    <row r="376" spans="1:16" ht="15" customHeight="1" x14ac:dyDescent="0.2">
      <c r="A376" s="19" t="s">
        <v>411</v>
      </c>
      <c r="B376" s="42"/>
      <c r="C376" s="2">
        <v>0.2</v>
      </c>
      <c r="D376" s="2">
        <v>0.02</v>
      </c>
      <c r="E376" s="8">
        <f t="shared" si="5"/>
        <v>0.78</v>
      </c>
      <c r="F376" s="5" t="s">
        <v>25</v>
      </c>
      <c r="G376" s="18" t="s">
        <v>769</v>
      </c>
      <c r="H376" s="58" t="e">
        <f>((Tablo1[[#This Row],[Esans Fiyat]]/#REF!*Tablo1[[#This Row],[Esans]]*100)+(#REF!/1000*Tablo1[[#This Row],[Su]]*100)+(#REF!/1000*Tablo1[[#This Row],[Alkol]]*100))*(#REF!/100)+#REF!</f>
        <v>#REF!</v>
      </c>
      <c r="I376" s="5" t="s">
        <v>776</v>
      </c>
      <c r="J376" s="52" t="e">
        <f>#REF!*Tablo1[[#This Row],[Esans]]</f>
        <v>#REF!</v>
      </c>
      <c r="K376" s="52" t="e">
        <f>#REF!*Tablo1[[#This Row],[Su]]</f>
        <v>#REF!</v>
      </c>
      <c r="L376" s="52" t="e">
        <f>#REF!*Tablo1[[#This Row],[Alkol]]</f>
        <v>#REF!</v>
      </c>
      <c r="M376" s="45"/>
      <c r="N376" s="52">
        <f>(Tablo1[[#This Row],[KALAN ESANS]]/Tablo1[[#This Row],[Esans]]*0.01)*(Tablo1[[#This Row],[Alkol]]*100)</f>
        <v>0</v>
      </c>
      <c r="O376" s="52">
        <f>(Tablo1[[#This Row],[KALAN ESANS]]/Tablo1[[#This Row],[Esans]]*0.01)*(Tablo1[[#This Row],[Su]]*100)</f>
        <v>0</v>
      </c>
      <c r="P376" s="52">
        <f>Tablo1[[#This Row],[KALAN ESANS]]+Tablo1[[#This Row],[ALKOL Mik]]+Tablo1[[#This Row],[SU Mik]]</f>
        <v>0</v>
      </c>
    </row>
    <row r="377" spans="1:16" ht="15" customHeight="1" x14ac:dyDescent="0.2">
      <c r="A377" s="19" t="s">
        <v>283</v>
      </c>
      <c r="B377" s="42"/>
      <c r="C377" s="2">
        <v>0.2</v>
      </c>
      <c r="D377" s="2">
        <v>0.02</v>
      </c>
      <c r="E377" s="8">
        <f t="shared" si="5"/>
        <v>0.78</v>
      </c>
      <c r="F377" s="5" t="s">
        <v>25</v>
      </c>
      <c r="G377" s="18" t="s">
        <v>769</v>
      </c>
      <c r="H377" s="58" t="e">
        <f>((Tablo1[[#This Row],[Esans Fiyat]]/#REF!*Tablo1[[#This Row],[Esans]]*100)+(#REF!/1000*Tablo1[[#This Row],[Su]]*100)+(#REF!/1000*Tablo1[[#This Row],[Alkol]]*100))*(#REF!/100)+#REF!</f>
        <v>#REF!</v>
      </c>
      <c r="I377" s="5" t="s">
        <v>776</v>
      </c>
      <c r="J377" s="52" t="e">
        <f>#REF!*Tablo1[[#This Row],[Esans]]</f>
        <v>#REF!</v>
      </c>
      <c r="K377" s="52" t="e">
        <f>#REF!*Tablo1[[#This Row],[Su]]</f>
        <v>#REF!</v>
      </c>
      <c r="L377" s="52" t="e">
        <f>#REF!*Tablo1[[#This Row],[Alkol]]</f>
        <v>#REF!</v>
      </c>
      <c r="M377" s="45"/>
      <c r="N377" s="52">
        <f>(Tablo1[[#This Row],[KALAN ESANS]]/Tablo1[[#This Row],[Esans]]*0.01)*(Tablo1[[#This Row],[Alkol]]*100)</f>
        <v>0</v>
      </c>
      <c r="O377" s="52">
        <f>(Tablo1[[#This Row],[KALAN ESANS]]/Tablo1[[#This Row],[Esans]]*0.01)*(Tablo1[[#This Row],[Su]]*100)</f>
        <v>0</v>
      </c>
      <c r="P377" s="52">
        <f>Tablo1[[#This Row],[KALAN ESANS]]+Tablo1[[#This Row],[ALKOL Mik]]+Tablo1[[#This Row],[SU Mik]]</f>
        <v>0</v>
      </c>
    </row>
    <row r="378" spans="1:16" ht="15" customHeight="1" x14ac:dyDescent="0.2">
      <c r="A378" s="19" t="s">
        <v>413</v>
      </c>
      <c r="B378" s="42"/>
      <c r="C378" s="2">
        <v>0.15</v>
      </c>
      <c r="D378" s="2">
        <v>0.02</v>
      </c>
      <c r="E378" s="8">
        <f t="shared" si="5"/>
        <v>0.83</v>
      </c>
      <c r="F378" s="5" t="s">
        <v>28</v>
      </c>
      <c r="G378" s="18" t="s">
        <v>769</v>
      </c>
      <c r="H378" s="58" t="e">
        <f>((Tablo1[[#This Row],[Esans Fiyat]]/#REF!*Tablo1[[#This Row],[Esans]]*100)+(#REF!/1000*Tablo1[[#This Row],[Su]]*100)+(#REF!/1000*Tablo1[[#This Row],[Alkol]]*100))*(#REF!/100)+#REF!</f>
        <v>#REF!</v>
      </c>
      <c r="I378" s="5" t="s">
        <v>772</v>
      </c>
      <c r="J378" s="52" t="e">
        <f>#REF!*Tablo1[[#This Row],[Esans]]</f>
        <v>#REF!</v>
      </c>
      <c r="K378" s="52" t="e">
        <f>#REF!*Tablo1[[#This Row],[Su]]</f>
        <v>#REF!</v>
      </c>
      <c r="L378" s="52" t="e">
        <f>#REF!*Tablo1[[#This Row],[Alkol]]</f>
        <v>#REF!</v>
      </c>
      <c r="M378" s="45"/>
      <c r="N378" s="52">
        <f>(Tablo1[[#This Row],[KALAN ESANS]]/Tablo1[[#This Row],[Esans]]*0.01)*(Tablo1[[#This Row],[Alkol]]*100)</f>
        <v>0</v>
      </c>
      <c r="O378" s="52">
        <f>(Tablo1[[#This Row],[KALAN ESANS]]/Tablo1[[#This Row],[Esans]]*0.01)*(Tablo1[[#This Row],[Su]]*100)</f>
        <v>0</v>
      </c>
      <c r="P378" s="52">
        <f>Tablo1[[#This Row],[KALAN ESANS]]+Tablo1[[#This Row],[ALKOL Mik]]+Tablo1[[#This Row],[SU Mik]]</f>
        <v>0</v>
      </c>
    </row>
    <row r="379" spans="1:16" ht="15" customHeight="1" x14ac:dyDescent="0.2">
      <c r="A379" s="19" t="s">
        <v>412</v>
      </c>
      <c r="B379" s="42"/>
      <c r="C379" s="2">
        <v>0.2</v>
      </c>
      <c r="D379" s="2">
        <v>0.02</v>
      </c>
      <c r="E379" s="8">
        <f t="shared" si="5"/>
        <v>0.78</v>
      </c>
      <c r="F379" s="5" t="s">
        <v>25</v>
      </c>
      <c r="G379" s="18" t="s">
        <v>769</v>
      </c>
      <c r="H379" s="58" t="e">
        <f>((Tablo1[[#This Row],[Esans Fiyat]]/#REF!*Tablo1[[#This Row],[Esans]]*100)+(#REF!/1000*Tablo1[[#This Row],[Su]]*100)+(#REF!/1000*Tablo1[[#This Row],[Alkol]]*100))*(#REF!/100)+#REF!</f>
        <v>#REF!</v>
      </c>
      <c r="I379" s="5" t="s">
        <v>776</v>
      </c>
      <c r="J379" s="52" t="e">
        <f>#REF!*Tablo1[[#This Row],[Esans]]</f>
        <v>#REF!</v>
      </c>
      <c r="K379" s="52" t="e">
        <f>#REF!*Tablo1[[#This Row],[Su]]</f>
        <v>#REF!</v>
      </c>
      <c r="L379" s="52" t="e">
        <f>#REF!*Tablo1[[#This Row],[Alkol]]</f>
        <v>#REF!</v>
      </c>
      <c r="M379" s="45"/>
      <c r="N379" s="52">
        <f>(Tablo1[[#This Row],[KALAN ESANS]]/Tablo1[[#This Row],[Esans]]*0.01)*(Tablo1[[#This Row],[Alkol]]*100)</f>
        <v>0</v>
      </c>
      <c r="O379" s="52">
        <f>(Tablo1[[#This Row],[KALAN ESANS]]/Tablo1[[#This Row],[Esans]]*0.01)*(Tablo1[[#This Row],[Su]]*100)</f>
        <v>0</v>
      </c>
      <c r="P379" s="52">
        <f>Tablo1[[#This Row],[KALAN ESANS]]+Tablo1[[#This Row],[ALKOL Mik]]+Tablo1[[#This Row],[SU Mik]]</f>
        <v>0</v>
      </c>
    </row>
    <row r="380" spans="1:16" ht="15" customHeight="1" x14ac:dyDescent="0.2">
      <c r="A380" s="19" t="s">
        <v>409</v>
      </c>
      <c r="B380" s="42"/>
      <c r="C380" s="2">
        <v>0.2</v>
      </c>
      <c r="D380" s="2">
        <v>0.02</v>
      </c>
      <c r="E380" s="8">
        <f t="shared" si="5"/>
        <v>0.78</v>
      </c>
      <c r="F380" s="5" t="s">
        <v>25</v>
      </c>
      <c r="G380" s="18" t="s">
        <v>769</v>
      </c>
      <c r="H380" s="58" t="e">
        <f>((Tablo1[[#This Row],[Esans Fiyat]]/#REF!*Tablo1[[#This Row],[Esans]]*100)+(#REF!/1000*Tablo1[[#This Row],[Su]]*100)+(#REF!/1000*Tablo1[[#This Row],[Alkol]]*100))*(#REF!/100)+#REF!</f>
        <v>#REF!</v>
      </c>
      <c r="I380" s="5" t="s">
        <v>776</v>
      </c>
      <c r="J380" s="52" t="e">
        <f>#REF!*Tablo1[[#This Row],[Esans]]</f>
        <v>#REF!</v>
      </c>
      <c r="K380" s="52" t="e">
        <f>#REF!*Tablo1[[#This Row],[Su]]</f>
        <v>#REF!</v>
      </c>
      <c r="L380" s="52" t="e">
        <f>#REF!*Tablo1[[#This Row],[Alkol]]</f>
        <v>#REF!</v>
      </c>
      <c r="M380" s="45"/>
      <c r="N380" s="52">
        <f>(Tablo1[[#This Row],[KALAN ESANS]]/Tablo1[[#This Row],[Esans]]*0.01)*(Tablo1[[#This Row],[Alkol]]*100)</f>
        <v>0</v>
      </c>
      <c r="O380" s="52">
        <f>(Tablo1[[#This Row],[KALAN ESANS]]/Tablo1[[#This Row],[Esans]]*0.01)*(Tablo1[[#This Row],[Su]]*100)</f>
        <v>0</v>
      </c>
      <c r="P380" s="52">
        <f>Tablo1[[#This Row],[KALAN ESANS]]+Tablo1[[#This Row],[ALKOL Mik]]+Tablo1[[#This Row],[SU Mik]]</f>
        <v>0</v>
      </c>
    </row>
    <row r="381" spans="1:16" ht="15" customHeight="1" x14ac:dyDescent="0.2">
      <c r="A381" s="19" t="s">
        <v>410</v>
      </c>
      <c r="B381" s="42"/>
      <c r="C381" s="2">
        <v>0.15</v>
      </c>
      <c r="D381" s="2">
        <v>0.02</v>
      </c>
      <c r="E381" s="8">
        <f t="shared" si="5"/>
        <v>0.83</v>
      </c>
      <c r="F381" s="5" t="s">
        <v>28</v>
      </c>
      <c r="G381" s="18" t="s">
        <v>769</v>
      </c>
      <c r="H381" s="58" t="e">
        <f>((Tablo1[[#This Row],[Esans Fiyat]]/#REF!*Tablo1[[#This Row],[Esans]]*100)+(#REF!/1000*Tablo1[[#This Row],[Su]]*100)+(#REF!/1000*Tablo1[[#This Row],[Alkol]]*100))*(#REF!/100)+#REF!</f>
        <v>#REF!</v>
      </c>
      <c r="I381" s="5" t="s">
        <v>776</v>
      </c>
      <c r="J381" s="52" t="e">
        <f>#REF!*Tablo1[[#This Row],[Esans]]</f>
        <v>#REF!</v>
      </c>
      <c r="K381" s="52" t="e">
        <f>#REF!*Tablo1[[#This Row],[Su]]</f>
        <v>#REF!</v>
      </c>
      <c r="L381" s="52" t="e">
        <f>#REF!*Tablo1[[#This Row],[Alkol]]</f>
        <v>#REF!</v>
      </c>
      <c r="M381" s="45"/>
      <c r="N381" s="52">
        <f>(Tablo1[[#This Row],[KALAN ESANS]]/Tablo1[[#This Row],[Esans]]*0.01)*(Tablo1[[#This Row],[Alkol]]*100)</f>
        <v>0</v>
      </c>
      <c r="O381" s="52">
        <f>(Tablo1[[#This Row],[KALAN ESANS]]/Tablo1[[#This Row],[Esans]]*0.01)*(Tablo1[[#This Row],[Su]]*100)</f>
        <v>0</v>
      </c>
      <c r="P381" s="52">
        <f>Tablo1[[#This Row],[KALAN ESANS]]+Tablo1[[#This Row],[ALKOL Mik]]+Tablo1[[#This Row],[SU Mik]]</f>
        <v>0</v>
      </c>
    </row>
    <row r="382" spans="1:16" ht="15" customHeight="1" x14ac:dyDescent="0.2">
      <c r="A382" s="19" t="s">
        <v>408</v>
      </c>
      <c r="B382" s="42"/>
      <c r="C382" s="2">
        <v>0.2</v>
      </c>
      <c r="D382" s="2">
        <v>0.02</v>
      </c>
      <c r="E382" s="8">
        <f t="shared" si="5"/>
        <v>0.78</v>
      </c>
      <c r="F382" s="5" t="s">
        <v>25</v>
      </c>
      <c r="G382" s="18" t="s">
        <v>769</v>
      </c>
      <c r="H382" s="58" t="e">
        <f>((Tablo1[[#This Row],[Esans Fiyat]]/#REF!*Tablo1[[#This Row],[Esans]]*100)+(#REF!/1000*Tablo1[[#This Row],[Su]]*100)+(#REF!/1000*Tablo1[[#This Row],[Alkol]]*100))*(#REF!/100)+#REF!</f>
        <v>#REF!</v>
      </c>
      <c r="I382" s="5" t="s">
        <v>776</v>
      </c>
      <c r="J382" s="52" t="e">
        <f>#REF!*Tablo1[[#This Row],[Esans]]</f>
        <v>#REF!</v>
      </c>
      <c r="K382" s="52" t="e">
        <f>#REF!*Tablo1[[#This Row],[Su]]</f>
        <v>#REF!</v>
      </c>
      <c r="L382" s="52" t="e">
        <f>#REF!*Tablo1[[#This Row],[Alkol]]</f>
        <v>#REF!</v>
      </c>
      <c r="M382" s="45"/>
      <c r="N382" s="52">
        <f>(Tablo1[[#This Row],[KALAN ESANS]]/Tablo1[[#This Row],[Esans]]*0.01)*(Tablo1[[#This Row],[Alkol]]*100)</f>
        <v>0</v>
      </c>
      <c r="O382" s="52">
        <f>(Tablo1[[#This Row],[KALAN ESANS]]/Tablo1[[#This Row],[Esans]]*0.01)*(Tablo1[[#This Row],[Su]]*100)</f>
        <v>0</v>
      </c>
      <c r="P382" s="52">
        <f>Tablo1[[#This Row],[KALAN ESANS]]+Tablo1[[#This Row],[ALKOL Mik]]+Tablo1[[#This Row],[SU Mik]]</f>
        <v>0</v>
      </c>
    </row>
    <row r="383" spans="1:16" ht="15" customHeight="1" x14ac:dyDescent="0.2">
      <c r="A383" s="19" t="s">
        <v>404</v>
      </c>
      <c r="B383" s="42"/>
      <c r="C383" s="2">
        <v>0.2</v>
      </c>
      <c r="D383" s="2">
        <v>0.02</v>
      </c>
      <c r="E383" s="8">
        <f t="shared" si="5"/>
        <v>0.78</v>
      </c>
      <c r="F383" s="5" t="s">
        <v>25</v>
      </c>
      <c r="G383" s="18" t="s">
        <v>769</v>
      </c>
      <c r="H383" s="58" t="e">
        <f>((Tablo1[[#This Row],[Esans Fiyat]]/#REF!*Tablo1[[#This Row],[Esans]]*100)+(#REF!/1000*Tablo1[[#This Row],[Su]]*100)+(#REF!/1000*Tablo1[[#This Row],[Alkol]]*100))*(#REF!/100)+#REF!</f>
        <v>#REF!</v>
      </c>
      <c r="I383" s="5" t="s">
        <v>776</v>
      </c>
      <c r="J383" s="52" t="e">
        <f>#REF!*Tablo1[[#This Row],[Esans]]</f>
        <v>#REF!</v>
      </c>
      <c r="K383" s="52" t="e">
        <f>#REF!*Tablo1[[#This Row],[Su]]</f>
        <v>#REF!</v>
      </c>
      <c r="L383" s="52" t="e">
        <f>#REF!*Tablo1[[#This Row],[Alkol]]</f>
        <v>#REF!</v>
      </c>
      <c r="M383" s="45"/>
      <c r="N383" s="52">
        <f>(Tablo1[[#This Row],[KALAN ESANS]]/Tablo1[[#This Row],[Esans]]*0.01)*(Tablo1[[#This Row],[Alkol]]*100)</f>
        <v>0</v>
      </c>
      <c r="O383" s="52">
        <f>(Tablo1[[#This Row],[KALAN ESANS]]/Tablo1[[#This Row],[Esans]]*0.01)*(Tablo1[[#This Row],[Su]]*100)</f>
        <v>0</v>
      </c>
      <c r="P383" s="52">
        <f>Tablo1[[#This Row],[KALAN ESANS]]+Tablo1[[#This Row],[ALKOL Mik]]+Tablo1[[#This Row],[SU Mik]]</f>
        <v>0</v>
      </c>
    </row>
    <row r="384" spans="1:16" ht="15" customHeight="1" x14ac:dyDescent="0.2">
      <c r="A384" s="19" t="s">
        <v>406</v>
      </c>
      <c r="B384" s="42"/>
      <c r="C384" s="2">
        <v>0.2</v>
      </c>
      <c r="D384" s="2">
        <v>0.02</v>
      </c>
      <c r="E384" s="8">
        <f t="shared" si="5"/>
        <v>0.78</v>
      </c>
      <c r="F384" s="5" t="s">
        <v>25</v>
      </c>
      <c r="G384" s="18" t="s">
        <v>769</v>
      </c>
      <c r="H384" s="58" t="e">
        <f>((Tablo1[[#This Row],[Esans Fiyat]]/#REF!*Tablo1[[#This Row],[Esans]]*100)+(#REF!/1000*Tablo1[[#This Row],[Su]]*100)+(#REF!/1000*Tablo1[[#This Row],[Alkol]]*100))*(#REF!/100)+#REF!</f>
        <v>#REF!</v>
      </c>
      <c r="I384" s="5" t="s">
        <v>776</v>
      </c>
      <c r="J384" s="52" t="e">
        <f>#REF!*Tablo1[[#This Row],[Esans]]</f>
        <v>#REF!</v>
      </c>
      <c r="K384" s="52" t="e">
        <f>#REF!*Tablo1[[#This Row],[Su]]</f>
        <v>#REF!</v>
      </c>
      <c r="L384" s="52" t="e">
        <f>#REF!*Tablo1[[#This Row],[Alkol]]</f>
        <v>#REF!</v>
      </c>
      <c r="M384" s="45"/>
      <c r="N384" s="52">
        <f>(Tablo1[[#This Row],[KALAN ESANS]]/Tablo1[[#This Row],[Esans]]*0.01)*(Tablo1[[#This Row],[Alkol]]*100)</f>
        <v>0</v>
      </c>
      <c r="O384" s="52">
        <f>(Tablo1[[#This Row],[KALAN ESANS]]/Tablo1[[#This Row],[Esans]]*0.01)*(Tablo1[[#This Row],[Su]]*100)</f>
        <v>0</v>
      </c>
      <c r="P384" s="52">
        <f>Tablo1[[#This Row],[KALAN ESANS]]+Tablo1[[#This Row],[ALKOL Mik]]+Tablo1[[#This Row],[SU Mik]]</f>
        <v>0</v>
      </c>
    </row>
    <row r="385" spans="1:16" ht="15" customHeight="1" x14ac:dyDescent="0.2">
      <c r="A385" s="19" t="s">
        <v>405</v>
      </c>
      <c r="B385" s="42"/>
      <c r="C385" s="2">
        <v>0.2</v>
      </c>
      <c r="D385" s="2">
        <v>0.02</v>
      </c>
      <c r="E385" s="8">
        <f t="shared" si="5"/>
        <v>0.78</v>
      </c>
      <c r="F385" s="5" t="s">
        <v>25</v>
      </c>
      <c r="G385" s="18" t="s">
        <v>769</v>
      </c>
      <c r="H385" s="58" t="e">
        <f>((Tablo1[[#This Row],[Esans Fiyat]]/#REF!*Tablo1[[#This Row],[Esans]]*100)+(#REF!/1000*Tablo1[[#This Row],[Su]]*100)+(#REF!/1000*Tablo1[[#This Row],[Alkol]]*100))*(#REF!/100)+#REF!</f>
        <v>#REF!</v>
      </c>
      <c r="I385" s="5" t="s">
        <v>776</v>
      </c>
      <c r="J385" s="52" t="e">
        <f>#REF!*Tablo1[[#This Row],[Esans]]</f>
        <v>#REF!</v>
      </c>
      <c r="K385" s="52" t="e">
        <f>#REF!*Tablo1[[#This Row],[Su]]</f>
        <v>#REF!</v>
      </c>
      <c r="L385" s="52" t="e">
        <f>#REF!*Tablo1[[#This Row],[Alkol]]</f>
        <v>#REF!</v>
      </c>
      <c r="M385" s="45"/>
      <c r="N385" s="52">
        <f>(Tablo1[[#This Row],[KALAN ESANS]]/Tablo1[[#This Row],[Esans]]*0.01)*(Tablo1[[#This Row],[Alkol]]*100)</f>
        <v>0</v>
      </c>
      <c r="O385" s="52">
        <f>(Tablo1[[#This Row],[KALAN ESANS]]/Tablo1[[#This Row],[Esans]]*0.01)*(Tablo1[[#This Row],[Su]]*100)</f>
        <v>0</v>
      </c>
      <c r="P385" s="52">
        <f>Tablo1[[#This Row],[KALAN ESANS]]+Tablo1[[#This Row],[ALKOL Mik]]+Tablo1[[#This Row],[SU Mik]]</f>
        <v>0</v>
      </c>
    </row>
    <row r="386" spans="1:16" ht="15" customHeight="1" x14ac:dyDescent="0.2">
      <c r="A386" s="19" t="s">
        <v>403</v>
      </c>
      <c r="B386" s="42"/>
      <c r="C386" s="2">
        <v>0.2</v>
      </c>
      <c r="D386" s="2">
        <v>0.02</v>
      </c>
      <c r="E386" s="8">
        <f t="shared" si="5"/>
        <v>0.78</v>
      </c>
      <c r="F386" s="5" t="s">
        <v>25</v>
      </c>
      <c r="G386" s="18" t="s">
        <v>769</v>
      </c>
      <c r="H386" s="58" t="e">
        <f>((Tablo1[[#This Row],[Esans Fiyat]]/#REF!*Tablo1[[#This Row],[Esans]]*100)+(#REF!/1000*Tablo1[[#This Row],[Su]]*100)+(#REF!/1000*Tablo1[[#This Row],[Alkol]]*100))*(#REF!/100)+#REF!</f>
        <v>#REF!</v>
      </c>
      <c r="I386" s="5" t="s">
        <v>776</v>
      </c>
      <c r="J386" s="52" t="e">
        <f>#REF!*Tablo1[[#This Row],[Esans]]</f>
        <v>#REF!</v>
      </c>
      <c r="K386" s="52" t="e">
        <f>#REF!*Tablo1[[#This Row],[Su]]</f>
        <v>#REF!</v>
      </c>
      <c r="L386" s="52" t="e">
        <f>#REF!*Tablo1[[#This Row],[Alkol]]</f>
        <v>#REF!</v>
      </c>
      <c r="M386" s="45"/>
      <c r="N386" s="52">
        <f>(Tablo1[[#This Row],[KALAN ESANS]]/Tablo1[[#This Row],[Esans]]*0.01)*(Tablo1[[#This Row],[Alkol]]*100)</f>
        <v>0</v>
      </c>
      <c r="O386" s="52">
        <f>(Tablo1[[#This Row],[KALAN ESANS]]/Tablo1[[#This Row],[Esans]]*0.01)*(Tablo1[[#This Row],[Su]]*100)</f>
        <v>0</v>
      </c>
      <c r="P386" s="52">
        <f>Tablo1[[#This Row],[KALAN ESANS]]+Tablo1[[#This Row],[ALKOL Mik]]+Tablo1[[#This Row],[SU Mik]]</f>
        <v>0</v>
      </c>
    </row>
    <row r="387" spans="1:16" ht="15" customHeight="1" x14ac:dyDescent="0.2">
      <c r="A387" s="19" t="s">
        <v>407</v>
      </c>
      <c r="B387" s="42"/>
      <c r="C387" s="2">
        <v>0.2</v>
      </c>
      <c r="D387" s="2">
        <v>0.02</v>
      </c>
      <c r="E387" s="8">
        <f t="shared" si="5"/>
        <v>0.78</v>
      </c>
      <c r="F387" s="5" t="s">
        <v>25</v>
      </c>
      <c r="G387" s="18" t="s">
        <v>769</v>
      </c>
      <c r="H387" s="58" t="e">
        <f>((Tablo1[[#This Row],[Esans Fiyat]]/#REF!*Tablo1[[#This Row],[Esans]]*100)+(#REF!/1000*Tablo1[[#This Row],[Su]]*100)+(#REF!/1000*Tablo1[[#This Row],[Alkol]]*100))*(#REF!/100)+#REF!</f>
        <v>#REF!</v>
      </c>
      <c r="I387" s="5" t="s">
        <v>776</v>
      </c>
      <c r="J387" s="52" t="e">
        <f>#REF!*Tablo1[[#This Row],[Esans]]</f>
        <v>#REF!</v>
      </c>
      <c r="K387" s="52" t="e">
        <f>#REF!*Tablo1[[#This Row],[Su]]</f>
        <v>#REF!</v>
      </c>
      <c r="L387" s="52" t="e">
        <f>#REF!*Tablo1[[#This Row],[Alkol]]</f>
        <v>#REF!</v>
      </c>
      <c r="M387" s="45"/>
      <c r="N387" s="52">
        <f>(Tablo1[[#This Row],[KALAN ESANS]]/Tablo1[[#This Row],[Esans]]*0.01)*(Tablo1[[#This Row],[Alkol]]*100)</f>
        <v>0</v>
      </c>
      <c r="O387" s="52">
        <f>(Tablo1[[#This Row],[KALAN ESANS]]/Tablo1[[#This Row],[Esans]]*0.01)*(Tablo1[[#This Row],[Su]]*100)</f>
        <v>0</v>
      </c>
      <c r="P387" s="52">
        <f>Tablo1[[#This Row],[KALAN ESANS]]+Tablo1[[#This Row],[ALKOL Mik]]+Tablo1[[#This Row],[SU Mik]]</f>
        <v>0</v>
      </c>
    </row>
    <row r="388" spans="1:16" ht="15" customHeight="1" x14ac:dyDescent="0.2">
      <c r="A388" s="19" t="s">
        <v>402</v>
      </c>
      <c r="B388" s="42"/>
      <c r="C388" s="2">
        <v>0.2</v>
      </c>
      <c r="D388" s="2">
        <v>0.02</v>
      </c>
      <c r="E388" s="8">
        <f t="shared" ref="E388:E451" si="6">1-D388-C388</f>
        <v>0.78</v>
      </c>
      <c r="F388" s="5" t="s">
        <v>25</v>
      </c>
      <c r="G388" s="18" t="s">
        <v>769</v>
      </c>
      <c r="H388" s="58" t="e">
        <f>((Tablo1[[#This Row],[Esans Fiyat]]/#REF!*Tablo1[[#This Row],[Esans]]*100)+(#REF!/1000*Tablo1[[#This Row],[Su]]*100)+(#REF!/1000*Tablo1[[#This Row],[Alkol]]*100))*(#REF!/100)+#REF!</f>
        <v>#REF!</v>
      </c>
      <c r="I388" s="5" t="s">
        <v>776</v>
      </c>
      <c r="J388" s="52" t="e">
        <f>#REF!*Tablo1[[#This Row],[Esans]]</f>
        <v>#REF!</v>
      </c>
      <c r="K388" s="52" t="e">
        <f>#REF!*Tablo1[[#This Row],[Su]]</f>
        <v>#REF!</v>
      </c>
      <c r="L388" s="52" t="e">
        <f>#REF!*Tablo1[[#This Row],[Alkol]]</f>
        <v>#REF!</v>
      </c>
      <c r="M388" s="45"/>
      <c r="N388" s="52">
        <f>(Tablo1[[#This Row],[KALAN ESANS]]/Tablo1[[#This Row],[Esans]]*0.01)*(Tablo1[[#This Row],[Alkol]]*100)</f>
        <v>0</v>
      </c>
      <c r="O388" s="52">
        <f>(Tablo1[[#This Row],[KALAN ESANS]]/Tablo1[[#This Row],[Esans]]*0.01)*(Tablo1[[#This Row],[Su]]*100)</f>
        <v>0</v>
      </c>
      <c r="P388" s="52">
        <f>Tablo1[[#This Row],[KALAN ESANS]]+Tablo1[[#This Row],[ALKOL Mik]]+Tablo1[[#This Row],[SU Mik]]</f>
        <v>0</v>
      </c>
    </row>
    <row r="389" spans="1:16" ht="15" customHeight="1" x14ac:dyDescent="0.2">
      <c r="A389" s="19" t="s">
        <v>401</v>
      </c>
      <c r="B389" s="42"/>
      <c r="C389" s="2">
        <v>0.13</v>
      </c>
      <c r="D389" s="2">
        <v>0.02</v>
      </c>
      <c r="E389" s="8">
        <f t="shared" si="6"/>
        <v>0.85</v>
      </c>
      <c r="F389" s="5" t="s">
        <v>28</v>
      </c>
      <c r="G389" s="18" t="s">
        <v>769</v>
      </c>
      <c r="H389" s="58" t="e">
        <f>((Tablo1[[#This Row],[Esans Fiyat]]/#REF!*Tablo1[[#This Row],[Esans]]*100)+(#REF!/1000*Tablo1[[#This Row],[Su]]*100)+(#REF!/1000*Tablo1[[#This Row],[Alkol]]*100))*(#REF!/100)+#REF!</f>
        <v>#REF!</v>
      </c>
      <c r="I389" s="5" t="s">
        <v>772</v>
      </c>
      <c r="J389" s="52" t="e">
        <f>#REF!*Tablo1[[#This Row],[Esans]]</f>
        <v>#REF!</v>
      </c>
      <c r="K389" s="52" t="e">
        <f>#REF!*Tablo1[[#This Row],[Su]]</f>
        <v>#REF!</v>
      </c>
      <c r="L389" s="52" t="e">
        <f>#REF!*Tablo1[[#This Row],[Alkol]]</f>
        <v>#REF!</v>
      </c>
      <c r="M389" s="45"/>
      <c r="N389" s="52">
        <f>(Tablo1[[#This Row],[KALAN ESANS]]/Tablo1[[#This Row],[Esans]]*0.01)*(Tablo1[[#This Row],[Alkol]]*100)</f>
        <v>0</v>
      </c>
      <c r="O389" s="52">
        <f>(Tablo1[[#This Row],[KALAN ESANS]]/Tablo1[[#This Row],[Esans]]*0.01)*(Tablo1[[#This Row],[Su]]*100)</f>
        <v>0</v>
      </c>
      <c r="P389" s="52">
        <f>Tablo1[[#This Row],[KALAN ESANS]]+Tablo1[[#This Row],[ALKOL Mik]]+Tablo1[[#This Row],[SU Mik]]</f>
        <v>0</v>
      </c>
    </row>
    <row r="390" spans="1:16" ht="15" customHeight="1" x14ac:dyDescent="0.2">
      <c r="A390" s="19" t="s">
        <v>400</v>
      </c>
      <c r="B390" s="42"/>
      <c r="C390" s="2">
        <v>0.2</v>
      </c>
      <c r="D390" s="2">
        <v>0.02</v>
      </c>
      <c r="E390" s="8">
        <f t="shared" si="6"/>
        <v>0.78</v>
      </c>
      <c r="F390" s="5" t="s">
        <v>25</v>
      </c>
      <c r="G390" s="18" t="s">
        <v>769</v>
      </c>
      <c r="H390" s="58" t="e">
        <f>((Tablo1[[#This Row],[Esans Fiyat]]/#REF!*Tablo1[[#This Row],[Esans]]*100)+(#REF!/1000*Tablo1[[#This Row],[Su]]*100)+(#REF!/1000*Tablo1[[#This Row],[Alkol]]*100))*(#REF!/100)+#REF!</f>
        <v>#REF!</v>
      </c>
      <c r="I390" s="5" t="s">
        <v>776</v>
      </c>
      <c r="J390" s="52" t="e">
        <f>#REF!*Tablo1[[#This Row],[Esans]]</f>
        <v>#REF!</v>
      </c>
      <c r="K390" s="52" t="e">
        <f>#REF!*Tablo1[[#This Row],[Su]]</f>
        <v>#REF!</v>
      </c>
      <c r="L390" s="52" t="e">
        <f>#REF!*Tablo1[[#This Row],[Alkol]]</f>
        <v>#REF!</v>
      </c>
      <c r="M390" s="45"/>
      <c r="N390" s="52">
        <f>(Tablo1[[#This Row],[KALAN ESANS]]/Tablo1[[#This Row],[Esans]]*0.01)*(Tablo1[[#This Row],[Alkol]]*100)</f>
        <v>0</v>
      </c>
      <c r="O390" s="52">
        <f>(Tablo1[[#This Row],[KALAN ESANS]]/Tablo1[[#This Row],[Esans]]*0.01)*(Tablo1[[#This Row],[Su]]*100)</f>
        <v>0</v>
      </c>
      <c r="P390" s="52">
        <f>Tablo1[[#This Row],[KALAN ESANS]]+Tablo1[[#This Row],[ALKOL Mik]]+Tablo1[[#This Row],[SU Mik]]</f>
        <v>0</v>
      </c>
    </row>
    <row r="391" spans="1:16" ht="15" customHeight="1" x14ac:dyDescent="0.2">
      <c r="A391" s="19" t="s">
        <v>394</v>
      </c>
      <c r="B391" s="42"/>
      <c r="C391" s="2">
        <v>0.2</v>
      </c>
      <c r="D391" s="2">
        <v>0.02</v>
      </c>
      <c r="E391" s="8">
        <f t="shared" si="6"/>
        <v>0.78</v>
      </c>
      <c r="F391" s="5" t="s">
        <v>25</v>
      </c>
      <c r="G391" s="18" t="s">
        <v>769</v>
      </c>
      <c r="H391" s="58" t="e">
        <f>((Tablo1[[#This Row],[Esans Fiyat]]/#REF!*Tablo1[[#This Row],[Esans]]*100)+(#REF!/1000*Tablo1[[#This Row],[Su]]*100)+(#REF!/1000*Tablo1[[#This Row],[Alkol]]*100))*(#REF!/100)+#REF!</f>
        <v>#REF!</v>
      </c>
      <c r="I391" s="5" t="s">
        <v>776</v>
      </c>
      <c r="J391" s="52" t="e">
        <f>#REF!*Tablo1[[#This Row],[Esans]]</f>
        <v>#REF!</v>
      </c>
      <c r="K391" s="52" t="e">
        <f>#REF!*Tablo1[[#This Row],[Su]]</f>
        <v>#REF!</v>
      </c>
      <c r="L391" s="52" t="e">
        <f>#REF!*Tablo1[[#This Row],[Alkol]]</f>
        <v>#REF!</v>
      </c>
      <c r="M391" s="45"/>
      <c r="N391" s="52">
        <f>(Tablo1[[#This Row],[KALAN ESANS]]/Tablo1[[#This Row],[Esans]]*0.01)*(Tablo1[[#This Row],[Alkol]]*100)</f>
        <v>0</v>
      </c>
      <c r="O391" s="52">
        <f>(Tablo1[[#This Row],[KALAN ESANS]]/Tablo1[[#This Row],[Esans]]*0.01)*(Tablo1[[#This Row],[Su]]*100)</f>
        <v>0</v>
      </c>
      <c r="P391" s="52">
        <f>Tablo1[[#This Row],[KALAN ESANS]]+Tablo1[[#This Row],[ALKOL Mik]]+Tablo1[[#This Row],[SU Mik]]</f>
        <v>0</v>
      </c>
    </row>
    <row r="392" spans="1:16" ht="15" customHeight="1" x14ac:dyDescent="0.2">
      <c r="A392" s="19" t="s">
        <v>395</v>
      </c>
      <c r="B392" s="42"/>
      <c r="C392" s="2">
        <v>0.15</v>
      </c>
      <c r="D392" s="2">
        <v>0.02</v>
      </c>
      <c r="E392" s="8">
        <f t="shared" si="6"/>
        <v>0.83</v>
      </c>
      <c r="F392" s="5" t="s">
        <v>28</v>
      </c>
      <c r="G392" s="18" t="s">
        <v>769</v>
      </c>
      <c r="H392" s="58" t="e">
        <f>((Tablo1[[#This Row],[Esans Fiyat]]/#REF!*Tablo1[[#This Row],[Esans]]*100)+(#REF!/1000*Tablo1[[#This Row],[Su]]*100)+(#REF!/1000*Tablo1[[#This Row],[Alkol]]*100))*(#REF!/100)+#REF!</f>
        <v>#REF!</v>
      </c>
      <c r="I392" s="5" t="s">
        <v>776</v>
      </c>
      <c r="J392" s="52" t="e">
        <f>#REF!*Tablo1[[#This Row],[Esans]]</f>
        <v>#REF!</v>
      </c>
      <c r="K392" s="52" t="e">
        <f>#REF!*Tablo1[[#This Row],[Su]]</f>
        <v>#REF!</v>
      </c>
      <c r="L392" s="52" t="e">
        <f>#REF!*Tablo1[[#This Row],[Alkol]]</f>
        <v>#REF!</v>
      </c>
      <c r="M392" s="45"/>
      <c r="N392" s="52">
        <f>(Tablo1[[#This Row],[KALAN ESANS]]/Tablo1[[#This Row],[Esans]]*0.01)*(Tablo1[[#This Row],[Alkol]]*100)</f>
        <v>0</v>
      </c>
      <c r="O392" s="52">
        <f>(Tablo1[[#This Row],[KALAN ESANS]]/Tablo1[[#This Row],[Esans]]*0.01)*(Tablo1[[#This Row],[Su]]*100)</f>
        <v>0</v>
      </c>
      <c r="P392" s="52">
        <f>Tablo1[[#This Row],[KALAN ESANS]]+Tablo1[[#This Row],[ALKOL Mik]]+Tablo1[[#This Row],[SU Mik]]</f>
        <v>0</v>
      </c>
    </row>
    <row r="393" spans="1:16" ht="15" customHeight="1" x14ac:dyDescent="0.2">
      <c r="A393" s="19" t="s">
        <v>397</v>
      </c>
      <c r="B393" s="42"/>
      <c r="C393" s="2">
        <v>0.2</v>
      </c>
      <c r="D393" s="2">
        <v>0.02</v>
      </c>
      <c r="E393" s="8">
        <f t="shared" si="6"/>
        <v>0.78</v>
      </c>
      <c r="F393" s="5" t="s">
        <v>25</v>
      </c>
      <c r="G393" s="18" t="s">
        <v>769</v>
      </c>
      <c r="H393" s="58" t="e">
        <f>((Tablo1[[#This Row],[Esans Fiyat]]/#REF!*Tablo1[[#This Row],[Esans]]*100)+(#REF!/1000*Tablo1[[#This Row],[Su]]*100)+(#REF!/1000*Tablo1[[#This Row],[Alkol]]*100))*(#REF!/100)+#REF!</f>
        <v>#REF!</v>
      </c>
      <c r="I393" s="5" t="s">
        <v>776</v>
      </c>
      <c r="J393" s="52" t="e">
        <f>#REF!*Tablo1[[#This Row],[Esans]]</f>
        <v>#REF!</v>
      </c>
      <c r="K393" s="52" t="e">
        <f>#REF!*Tablo1[[#This Row],[Su]]</f>
        <v>#REF!</v>
      </c>
      <c r="L393" s="52" t="e">
        <f>#REF!*Tablo1[[#This Row],[Alkol]]</f>
        <v>#REF!</v>
      </c>
      <c r="M393" s="45"/>
      <c r="N393" s="52">
        <f>(Tablo1[[#This Row],[KALAN ESANS]]/Tablo1[[#This Row],[Esans]]*0.01)*(Tablo1[[#This Row],[Alkol]]*100)</f>
        <v>0</v>
      </c>
      <c r="O393" s="52">
        <f>(Tablo1[[#This Row],[KALAN ESANS]]/Tablo1[[#This Row],[Esans]]*0.01)*(Tablo1[[#This Row],[Su]]*100)</f>
        <v>0</v>
      </c>
      <c r="P393" s="52">
        <f>Tablo1[[#This Row],[KALAN ESANS]]+Tablo1[[#This Row],[ALKOL Mik]]+Tablo1[[#This Row],[SU Mik]]</f>
        <v>0</v>
      </c>
    </row>
    <row r="394" spans="1:16" ht="15" customHeight="1" x14ac:dyDescent="0.2">
      <c r="A394" s="19" t="s">
        <v>396</v>
      </c>
      <c r="B394" s="42"/>
      <c r="C394" s="2">
        <v>0.2</v>
      </c>
      <c r="D394" s="2">
        <v>0.02</v>
      </c>
      <c r="E394" s="8">
        <f t="shared" si="6"/>
        <v>0.78</v>
      </c>
      <c r="F394" s="5" t="s">
        <v>25</v>
      </c>
      <c r="G394" s="18" t="s">
        <v>769</v>
      </c>
      <c r="H394" s="58" t="e">
        <f>((Tablo1[[#This Row],[Esans Fiyat]]/#REF!*Tablo1[[#This Row],[Esans]]*100)+(#REF!/1000*Tablo1[[#This Row],[Su]]*100)+(#REF!/1000*Tablo1[[#This Row],[Alkol]]*100))*(#REF!/100)+#REF!</f>
        <v>#REF!</v>
      </c>
      <c r="I394" s="5" t="s">
        <v>772</v>
      </c>
      <c r="J394" s="52" t="e">
        <f>#REF!*Tablo1[[#This Row],[Esans]]</f>
        <v>#REF!</v>
      </c>
      <c r="K394" s="52" t="e">
        <f>#REF!*Tablo1[[#This Row],[Su]]</f>
        <v>#REF!</v>
      </c>
      <c r="L394" s="52" t="e">
        <f>#REF!*Tablo1[[#This Row],[Alkol]]</f>
        <v>#REF!</v>
      </c>
      <c r="M394" s="45"/>
      <c r="N394" s="52">
        <f>(Tablo1[[#This Row],[KALAN ESANS]]/Tablo1[[#This Row],[Esans]]*0.01)*(Tablo1[[#This Row],[Alkol]]*100)</f>
        <v>0</v>
      </c>
      <c r="O394" s="52">
        <f>(Tablo1[[#This Row],[KALAN ESANS]]/Tablo1[[#This Row],[Esans]]*0.01)*(Tablo1[[#This Row],[Su]]*100)</f>
        <v>0</v>
      </c>
      <c r="P394" s="52">
        <f>Tablo1[[#This Row],[KALAN ESANS]]+Tablo1[[#This Row],[ALKOL Mik]]+Tablo1[[#This Row],[SU Mik]]</f>
        <v>0</v>
      </c>
    </row>
    <row r="395" spans="1:16" ht="15" customHeight="1" x14ac:dyDescent="0.2">
      <c r="A395" s="19" t="s">
        <v>399</v>
      </c>
      <c r="B395" s="42"/>
      <c r="C395" s="2">
        <v>0.2</v>
      </c>
      <c r="D395" s="2">
        <v>0.02</v>
      </c>
      <c r="E395" s="8">
        <f t="shared" si="6"/>
        <v>0.78</v>
      </c>
      <c r="F395" s="5" t="s">
        <v>25</v>
      </c>
      <c r="G395" s="18" t="s">
        <v>769</v>
      </c>
      <c r="H395" s="58" t="e">
        <f>((Tablo1[[#This Row],[Esans Fiyat]]/#REF!*Tablo1[[#This Row],[Esans]]*100)+(#REF!/1000*Tablo1[[#This Row],[Su]]*100)+(#REF!/1000*Tablo1[[#This Row],[Alkol]]*100))*(#REF!/100)+#REF!</f>
        <v>#REF!</v>
      </c>
      <c r="I395" s="5" t="s">
        <v>776</v>
      </c>
      <c r="J395" s="52" t="e">
        <f>#REF!*Tablo1[[#This Row],[Esans]]</f>
        <v>#REF!</v>
      </c>
      <c r="K395" s="52" t="e">
        <f>#REF!*Tablo1[[#This Row],[Su]]</f>
        <v>#REF!</v>
      </c>
      <c r="L395" s="52" t="e">
        <f>#REF!*Tablo1[[#This Row],[Alkol]]</f>
        <v>#REF!</v>
      </c>
      <c r="M395" s="45"/>
      <c r="N395" s="52">
        <f>(Tablo1[[#This Row],[KALAN ESANS]]/Tablo1[[#This Row],[Esans]]*0.01)*(Tablo1[[#This Row],[Alkol]]*100)</f>
        <v>0</v>
      </c>
      <c r="O395" s="52">
        <f>(Tablo1[[#This Row],[KALAN ESANS]]/Tablo1[[#This Row],[Esans]]*0.01)*(Tablo1[[#This Row],[Su]]*100)</f>
        <v>0</v>
      </c>
      <c r="P395" s="52">
        <f>Tablo1[[#This Row],[KALAN ESANS]]+Tablo1[[#This Row],[ALKOL Mik]]+Tablo1[[#This Row],[SU Mik]]</f>
        <v>0</v>
      </c>
    </row>
    <row r="396" spans="1:16" ht="15" customHeight="1" x14ac:dyDescent="0.2">
      <c r="A396" s="19" t="s">
        <v>398</v>
      </c>
      <c r="B396" s="42"/>
      <c r="C396" s="2">
        <v>0.2</v>
      </c>
      <c r="D396" s="2">
        <v>0.02</v>
      </c>
      <c r="E396" s="8">
        <f t="shared" si="6"/>
        <v>0.78</v>
      </c>
      <c r="F396" s="5" t="s">
        <v>25</v>
      </c>
      <c r="G396" s="18" t="s">
        <v>769</v>
      </c>
      <c r="H396" s="58" t="e">
        <f>((Tablo1[[#This Row],[Esans Fiyat]]/#REF!*Tablo1[[#This Row],[Esans]]*100)+(#REF!/1000*Tablo1[[#This Row],[Su]]*100)+(#REF!/1000*Tablo1[[#This Row],[Alkol]]*100))*(#REF!/100)+#REF!</f>
        <v>#REF!</v>
      </c>
      <c r="I396" s="5" t="s">
        <v>776</v>
      </c>
      <c r="J396" s="52" t="e">
        <f>#REF!*Tablo1[[#This Row],[Esans]]</f>
        <v>#REF!</v>
      </c>
      <c r="K396" s="52" t="e">
        <f>#REF!*Tablo1[[#This Row],[Su]]</f>
        <v>#REF!</v>
      </c>
      <c r="L396" s="52" t="e">
        <f>#REF!*Tablo1[[#This Row],[Alkol]]</f>
        <v>#REF!</v>
      </c>
      <c r="M396" s="45"/>
      <c r="N396" s="52">
        <f>(Tablo1[[#This Row],[KALAN ESANS]]/Tablo1[[#This Row],[Esans]]*0.01)*(Tablo1[[#This Row],[Alkol]]*100)</f>
        <v>0</v>
      </c>
      <c r="O396" s="52">
        <f>(Tablo1[[#This Row],[KALAN ESANS]]/Tablo1[[#This Row],[Esans]]*0.01)*(Tablo1[[#This Row],[Su]]*100)</f>
        <v>0</v>
      </c>
      <c r="P396" s="52">
        <f>Tablo1[[#This Row],[KALAN ESANS]]+Tablo1[[#This Row],[ALKOL Mik]]+Tablo1[[#This Row],[SU Mik]]</f>
        <v>0</v>
      </c>
    </row>
    <row r="397" spans="1:16" ht="15" customHeight="1" x14ac:dyDescent="0.2">
      <c r="A397" s="19" t="s">
        <v>282</v>
      </c>
      <c r="B397" s="42"/>
      <c r="C397" s="2">
        <v>0.2</v>
      </c>
      <c r="D397" s="2">
        <v>0.02</v>
      </c>
      <c r="E397" s="8">
        <f t="shared" si="6"/>
        <v>0.78</v>
      </c>
      <c r="F397" s="5" t="s">
        <v>25</v>
      </c>
      <c r="G397" s="18" t="s">
        <v>769</v>
      </c>
      <c r="H397" s="58" t="e">
        <f>((Tablo1[[#This Row],[Esans Fiyat]]/#REF!*Tablo1[[#This Row],[Esans]]*100)+(#REF!/1000*Tablo1[[#This Row],[Su]]*100)+(#REF!/1000*Tablo1[[#This Row],[Alkol]]*100))*(#REF!/100)+#REF!</f>
        <v>#REF!</v>
      </c>
      <c r="I397" s="5" t="s">
        <v>776</v>
      </c>
      <c r="J397" s="52" t="e">
        <f>#REF!*Tablo1[[#This Row],[Esans]]</f>
        <v>#REF!</v>
      </c>
      <c r="K397" s="52" t="e">
        <f>#REF!*Tablo1[[#This Row],[Su]]</f>
        <v>#REF!</v>
      </c>
      <c r="L397" s="52" t="e">
        <f>#REF!*Tablo1[[#This Row],[Alkol]]</f>
        <v>#REF!</v>
      </c>
      <c r="M397" s="45"/>
      <c r="N397" s="52">
        <f>(Tablo1[[#This Row],[KALAN ESANS]]/Tablo1[[#This Row],[Esans]]*0.01)*(Tablo1[[#This Row],[Alkol]]*100)</f>
        <v>0</v>
      </c>
      <c r="O397" s="52">
        <f>(Tablo1[[#This Row],[KALAN ESANS]]/Tablo1[[#This Row],[Esans]]*0.01)*(Tablo1[[#This Row],[Su]]*100)</f>
        <v>0</v>
      </c>
      <c r="P397" s="52">
        <f>Tablo1[[#This Row],[KALAN ESANS]]+Tablo1[[#This Row],[ALKOL Mik]]+Tablo1[[#This Row],[SU Mik]]</f>
        <v>0</v>
      </c>
    </row>
    <row r="398" spans="1:16" ht="15" customHeight="1" x14ac:dyDescent="0.2">
      <c r="A398" s="19" t="s">
        <v>393</v>
      </c>
      <c r="B398" s="42"/>
      <c r="C398" s="2">
        <v>0.04</v>
      </c>
      <c r="D398" s="2">
        <v>0.02</v>
      </c>
      <c r="E398" s="8">
        <f t="shared" si="6"/>
        <v>0.94</v>
      </c>
      <c r="F398" s="5" t="s">
        <v>38</v>
      </c>
      <c r="G398" s="18" t="s">
        <v>769</v>
      </c>
      <c r="H398" s="58" t="e">
        <f>((Tablo1[[#This Row],[Esans Fiyat]]/#REF!*Tablo1[[#This Row],[Esans]]*100)+(#REF!/1000*Tablo1[[#This Row],[Su]]*100)+(#REF!/1000*Tablo1[[#This Row],[Alkol]]*100))*(#REF!/100)+#REF!</f>
        <v>#REF!</v>
      </c>
      <c r="I398" s="5" t="s">
        <v>776</v>
      </c>
      <c r="J398" s="52" t="e">
        <f>#REF!*Tablo1[[#This Row],[Esans]]</f>
        <v>#REF!</v>
      </c>
      <c r="K398" s="52" t="e">
        <f>#REF!*Tablo1[[#This Row],[Su]]</f>
        <v>#REF!</v>
      </c>
      <c r="L398" s="52" t="e">
        <f>#REF!*Tablo1[[#This Row],[Alkol]]</f>
        <v>#REF!</v>
      </c>
      <c r="M398" s="45"/>
      <c r="N398" s="52">
        <f>(Tablo1[[#This Row],[KALAN ESANS]]/Tablo1[[#This Row],[Esans]]*0.01)*(Tablo1[[#This Row],[Alkol]]*100)</f>
        <v>0</v>
      </c>
      <c r="O398" s="52">
        <f>(Tablo1[[#This Row],[KALAN ESANS]]/Tablo1[[#This Row],[Esans]]*0.01)*(Tablo1[[#This Row],[Su]]*100)</f>
        <v>0</v>
      </c>
      <c r="P398" s="52">
        <f>Tablo1[[#This Row],[KALAN ESANS]]+Tablo1[[#This Row],[ALKOL Mik]]+Tablo1[[#This Row],[SU Mik]]</f>
        <v>0</v>
      </c>
    </row>
    <row r="399" spans="1:16" ht="15" customHeight="1" x14ac:dyDescent="0.2">
      <c r="A399" s="19" t="s">
        <v>386</v>
      </c>
      <c r="B399" s="42"/>
      <c r="C399" s="2">
        <v>0.04</v>
      </c>
      <c r="D399" s="2">
        <v>0.02</v>
      </c>
      <c r="E399" s="8">
        <f t="shared" si="6"/>
        <v>0.94</v>
      </c>
      <c r="F399" s="5" t="s">
        <v>38</v>
      </c>
      <c r="G399" s="18" t="s">
        <v>769</v>
      </c>
      <c r="H399" s="58" t="e">
        <f>((Tablo1[[#This Row],[Esans Fiyat]]/#REF!*Tablo1[[#This Row],[Esans]]*100)+(#REF!/1000*Tablo1[[#This Row],[Su]]*100)+(#REF!/1000*Tablo1[[#This Row],[Alkol]]*100))*(#REF!/100)+#REF!</f>
        <v>#REF!</v>
      </c>
      <c r="I399" s="5" t="s">
        <v>776</v>
      </c>
      <c r="J399" s="52" t="e">
        <f>#REF!*Tablo1[[#This Row],[Esans]]</f>
        <v>#REF!</v>
      </c>
      <c r="K399" s="52" t="e">
        <f>#REF!*Tablo1[[#This Row],[Su]]</f>
        <v>#REF!</v>
      </c>
      <c r="L399" s="52" t="e">
        <f>#REF!*Tablo1[[#This Row],[Alkol]]</f>
        <v>#REF!</v>
      </c>
      <c r="M399" s="45"/>
      <c r="N399" s="52">
        <f>(Tablo1[[#This Row],[KALAN ESANS]]/Tablo1[[#This Row],[Esans]]*0.01)*(Tablo1[[#This Row],[Alkol]]*100)</f>
        <v>0</v>
      </c>
      <c r="O399" s="52">
        <f>(Tablo1[[#This Row],[KALAN ESANS]]/Tablo1[[#This Row],[Esans]]*0.01)*(Tablo1[[#This Row],[Su]]*100)</f>
        <v>0</v>
      </c>
      <c r="P399" s="52">
        <f>Tablo1[[#This Row],[KALAN ESANS]]+Tablo1[[#This Row],[ALKOL Mik]]+Tablo1[[#This Row],[SU Mik]]</f>
        <v>0</v>
      </c>
    </row>
    <row r="400" spans="1:16" ht="15" customHeight="1" x14ac:dyDescent="0.2">
      <c r="A400" s="19" t="s">
        <v>392</v>
      </c>
      <c r="B400" s="42"/>
      <c r="C400" s="2">
        <v>0.04</v>
      </c>
      <c r="D400" s="2">
        <v>0.02</v>
      </c>
      <c r="E400" s="8">
        <f t="shared" si="6"/>
        <v>0.94</v>
      </c>
      <c r="F400" s="5" t="s">
        <v>38</v>
      </c>
      <c r="G400" s="18" t="s">
        <v>769</v>
      </c>
      <c r="H400" s="58" t="e">
        <f>((Tablo1[[#This Row],[Esans Fiyat]]/#REF!*Tablo1[[#This Row],[Esans]]*100)+(#REF!/1000*Tablo1[[#This Row],[Su]]*100)+(#REF!/1000*Tablo1[[#This Row],[Alkol]]*100))*(#REF!/100)+#REF!</f>
        <v>#REF!</v>
      </c>
      <c r="I400" s="5" t="s">
        <v>776</v>
      </c>
      <c r="J400" s="52" t="e">
        <f>#REF!*Tablo1[[#This Row],[Esans]]</f>
        <v>#REF!</v>
      </c>
      <c r="K400" s="52" t="e">
        <f>#REF!*Tablo1[[#This Row],[Su]]</f>
        <v>#REF!</v>
      </c>
      <c r="L400" s="52" t="e">
        <f>#REF!*Tablo1[[#This Row],[Alkol]]</f>
        <v>#REF!</v>
      </c>
      <c r="M400" s="45"/>
      <c r="N400" s="52">
        <f>(Tablo1[[#This Row],[KALAN ESANS]]/Tablo1[[#This Row],[Esans]]*0.01)*(Tablo1[[#This Row],[Alkol]]*100)</f>
        <v>0</v>
      </c>
      <c r="O400" s="52">
        <f>(Tablo1[[#This Row],[KALAN ESANS]]/Tablo1[[#This Row],[Esans]]*0.01)*(Tablo1[[#This Row],[Su]]*100)</f>
        <v>0</v>
      </c>
      <c r="P400" s="52">
        <f>Tablo1[[#This Row],[KALAN ESANS]]+Tablo1[[#This Row],[ALKOL Mik]]+Tablo1[[#This Row],[SU Mik]]</f>
        <v>0</v>
      </c>
    </row>
    <row r="401" spans="1:16" ht="15" customHeight="1" x14ac:dyDescent="0.2">
      <c r="A401" s="19" t="s">
        <v>384</v>
      </c>
      <c r="B401" s="42"/>
      <c r="C401" s="2">
        <v>0.04</v>
      </c>
      <c r="D401" s="2">
        <v>0.02</v>
      </c>
      <c r="E401" s="8">
        <f t="shared" si="6"/>
        <v>0.94</v>
      </c>
      <c r="F401" s="5" t="s">
        <v>38</v>
      </c>
      <c r="G401" s="18" t="s">
        <v>769</v>
      </c>
      <c r="H401" s="58" t="e">
        <f>((Tablo1[[#This Row],[Esans Fiyat]]/#REF!*Tablo1[[#This Row],[Esans]]*100)+(#REF!/1000*Tablo1[[#This Row],[Su]]*100)+(#REF!/1000*Tablo1[[#This Row],[Alkol]]*100))*(#REF!/100)+#REF!</f>
        <v>#REF!</v>
      </c>
      <c r="I401" s="5" t="s">
        <v>776</v>
      </c>
      <c r="J401" s="52" t="e">
        <f>#REF!*Tablo1[[#This Row],[Esans]]</f>
        <v>#REF!</v>
      </c>
      <c r="K401" s="52" t="e">
        <f>#REF!*Tablo1[[#This Row],[Su]]</f>
        <v>#REF!</v>
      </c>
      <c r="L401" s="52" t="e">
        <f>#REF!*Tablo1[[#This Row],[Alkol]]</f>
        <v>#REF!</v>
      </c>
      <c r="M401" s="45"/>
      <c r="N401" s="52">
        <f>(Tablo1[[#This Row],[KALAN ESANS]]/Tablo1[[#This Row],[Esans]]*0.01)*(Tablo1[[#This Row],[Alkol]]*100)</f>
        <v>0</v>
      </c>
      <c r="O401" s="52">
        <f>(Tablo1[[#This Row],[KALAN ESANS]]/Tablo1[[#This Row],[Esans]]*0.01)*(Tablo1[[#This Row],[Su]]*100)</f>
        <v>0</v>
      </c>
      <c r="P401" s="52">
        <f>Tablo1[[#This Row],[KALAN ESANS]]+Tablo1[[#This Row],[ALKOL Mik]]+Tablo1[[#This Row],[SU Mik]]</f>
        <v>0</v>
      </c>
    </row>
    <row r="402" spans="1:16" ht="15" customHeight="1" x14ac:dyDescent="0.2">
      <c r="A402" s="19" t="s">
        <v>385</v>
      </c>
      <c r="B402" s="42"/>
      <c r="C402" s="2">
        <v>0.04</v>
      </c>
      <c r="D402" s="2">
        <v>0.02</v>
      </c>
      <c r="E402" s="8">
        <f t="shared" si="6"/>
        <v>0.94</v>
      </c>
      <c r="F402" s="5" t="s">
        <v>38</v>
      </c>
      <c r="G402" s="18" t="s">
        <v>769</v>
      </c>
      <c r="H402" s="58" t="e">
        <f>((Tablo1[[#This Row],[Esans Fiyat]]/#REF!*Tablo1[[#This Row],[Esans]]*100)+(#REF!/1000*Tablo1[[#This Row],[Su]]*100)+(#REF!/1000*Tablo1[[#This Row],[Alkol]]*100))*(#REF!/100)+#REF!</f>
        <v>#REF!</v>
      </c>
      <c r="I402" s="5" t="s">
        <v>776</v>
      </c>
      <c r="J402" s="52" t="e">
        <f>#REF!*Tablo1[[#This Row],[Esans]]</f>
        <v>#REF!</v>
      </c>
      <c r="K402" s="52" t="e">
        <f>#REF!*Tablo1[[#This Row],[Su]]</f>
        <v>#REF!</v>
      </c>
      <c r="L402" s="52" t="e">
        <f>#REF!*Tablo1[[#This Row],[Alkol]]</f>
        <v>#REF!</v>
      </c>
      <c r="M402" s="45"/>
      <c r="N402" s="52">
        <f>(Tablo1[[#This Row],[KALAN ESANS]]/Tablo1[[#This Row],[Esans]]*0.01)*(Tablo1[[#This Row],[Alkol]]*100)</f>
        <v>0</v>
      </c>
      <c r="O402" s="52">
        <f>(Tablo1[[#This Row],[KALAN ESANS]]/Tablo1[[#This Row],[Esans]]*0.01)*(Tablo1[[#This Row],[Su]]*100)</f>
        <v>0</v>
      </c>
      <c r="P402" s="52">
        <f>Tablo1[[#This Row],[KALAN ESANS]]+Tablo1[[#This Row],[ALKOL Mik]]+Tablo1[[#This Row],[SU Mik]]</f>
        <v>0</v>
      </c>
    </row>
    <row r="403" spans="1:16" ht="15" customHeight="1" x14ac:dyDescent="0.2">
      <c r="A403" s="19" t="s">
        <v>391</v>
      </c>
      <c r="B403" s="42"/>
      <c r="C403" s="2">
        <v>0.04</v>
      </c>
      <c r="D403" s="2">
        <v>0.02</v>
      </c>
      <c r="E403" s="8">
        <f t="shared" si="6"/>
        <v>0.94</v>
      </c>
      <c r="F403" s="5" t="s">
        <v>38</v>
      </c>
      <c r="G403" s="18" t="s">
        <v>769</v>
      </c>
      <c r="H403" s="58" t="e">
        <f>((Tablo1[[#This Row],[Esans Fiyat]]/#REF!*Tablo1[[#This Row],[Esans]]*100)+(#REF!/1000*Tablo1[[#This Row],[Su]]*100)+(#REF!/1000*Tablo1[[#This Row],[Alkol]]*100))*(#REF!/100)+#REF!</f>
        <v>#REF!</v>
      </c>
      <c r="I403" s="5" t="s">
        <v>776</v>
      </c>
      <c r="J403" s="52" t="e">
        <f>#REF!*Tablo1[[#This Row],[Esans]]</f>
        <v>#REF!</v>
      </c>
      <c r="K403" s="52" t="e">
        <f>#REF!*Tablo1[[#This Row],[Su]]</f>
        <v>#REF!</v>
      </c>
      <c r="L403" s="52" t="e">
        <f>#REF!*Tablo1[[#This Row],[Alkol]]</f>
        <v>#REF!</v>
      </c>
      <c r="M403" s="45"/>
      <c r="N403" s="52">
        <f>(Tablo1[[#This Row],[KALAN ESANS]]/Tablo1[[#This Row],[Esans]]*0.01)*(Tablo1[[#This Row],[Alkol]]*100)</f>
        <v>0</v>
      </c>
      <c r="O403" s="52">
        <f>(Tablo1[[#This Row],[KALAN ESANS]]/Tablo1[[#This Row],[Esans]]*0.01)*(Tablo1[[#This Row],[Su]]*100)</f>
        <v>0</v>
      </c>
      <c r="P403" s="52">
        <f>Tablo1[[#This Row],[KALAN ESANS]]+Tablo1[[#This Row],[ALKOL Mik]]+Tablo1[[#This Row],[SU Mik]]</f>
        <v>0</v>
      </c>
    </row>
    <row r="404" spans="1:16" ht="15" customHeight="1" x14ac:dyDescent="0.2">
      <c r="A404" s="19" t="s">
        <v>390</v>
      </c>
      <c r="B404" s="42"/>
      <c r="C404" s="2">
        <v>0.04</v>
      </c>
      <c r="D404" s="2">
        <v>0.02</v>
      </c>
      <c r="E404" s="8">
        <f t="shared" si="6"/>
        <v>0.94</v>
      </c>
      <c r="F404" s="5" t="s">
        <v>38</v>
      </c>
      <c r="G404" s="18" t="s">
        <v>769</v>
      </c>
      <c r="H404" s="58" t="e">
        <f>((Tablo1[[#This Row],[Esans Fiyat]]/#REF!*Tablo1[[#This Row],[Esans]]*100)+(#REF!/1000*Tablo1[[#This Row],[Su]]*100)+(#REF!/1000*Tablo1[[#This Row],[Alkol]]*100))*(#REF!/100)+#REF!</f>
        <v>#REF!</v>
      </c>
      <c r="I404" s="5" t="s">
        <v>776</v>
      </c>
      <c r="J404" s="52" t="e">
        <f>#REF!*Tablo1[[#This Row],[Esans]]</f>
        <v>#REF!</v>
      </c>
      <c r="K404" s="52" t="e">
        <f>#REF!*Tablo1[[#This Row],[Su]]</f>
        <v>#REF!</v>
      </c>
      <c r="L404" s="52" t="e">
        <f>#REF!*Tablo1[[#This Row],[Alkol]]</f>
        <v>#REF!</v>
      </c>
      <c r="M404" s="45"/>
      <c r="N404" s="52">
        <f>(Tablo1[[#This Row],[KALAN ESANS]]/Tablo1[[#This Row],[Esans]]*0.01)*(Tablo1[[#This Row],[Alkol]]*100)</f>
        <v>0</v>
      </c>
      <c r="O404" s="52">
        <f>(Tablo1[[#This Row],[KALAN ESANS]]/Tablo1[[#This Row],[Esans]]*0.01)*(Tablo1[[#This Row],[Su]]*100)</f>
        <v>0</v>
      </c>
      <c r="P404" s="52">
        <f>Tablo1[[#This Row],[KALAN ESANS]]+Tablo1[[#This Row],[ALKOL Mik]]+Tablo1[[#This Row],[SU Mik]]</f>
        <v>0</v>
      </c>
    </row>
    <row r="405" spans="1:16" ht="15" customHeight="1" x14ac:dyDescent="0.2">
      <c r="A405" s="19" t="s">
        <v>389</v>
      </c>
      <c r="B405" s="42"/>
      <c r="C405" s="2">
        <v>0.04</v>
      </c>
      <c r="D405" s="2">
        <v>0</v>
      </c>
      <c r="E405" s="8">
        <f t="shared" si="6"/>
        <v>0.96</v>
      </c>
      <c r="F405" s="5" t="s">
        <v>38</v>
      </c>
      <c r="G405" s="18" t="s">
        <v>769</v>
      </c>
      <c r="H405" s="58" t="e">
        <f>((Tablo1[[#This Row],[Esans Fiyat]]/#REF!*Tablo1[[#This Row],[Esans]]*100)+(#REF!/1000*Tablo1[[#This Row],[Su]]*100)+(#REF!/1000*Tablo1[[#This Row],[Alkol]]*100))*(#REF!/100)+#REF!</f>
        <v>#REF!</v>
      </c>
      <c r="I405" s="5" t="s">
        <v>776</v>
      </c>
      <c r="J405" s="52" t="e">
        <f>#REF!*Tablo1[[#This Row],[Esans]]</f>
        <v>#REF!</v>
      </c>
      <c r="K405" s="52" t="e">
        <f>#REF!*Tablo1[[#This Row],[Su]]</f>
        <v>#REF!</v>
      </c>
      <c r="L405" s="52" t="e">
        <f>#REF!*Tablo1[[#This Row],[Alkol]]</f>
        <v>#REF!</v>
      </c>
      <c r="M405" s="45"/>
      <c r="N405" s="52">
        <f>(Tablo1[[#This Row],[KALAN ESANS]]/Tablo1[[#This Row],[Esans]]*0.01)*(Tablo1[[#This Row],[Alkol]]*100)</f>
        <v>0</v>
      </c>
      <c r="O405" s="52">
        <f>(Tablo1[[#This Row],[KALAN ESANS]]/Tablo1[[#This Row],[Esans]]*0.01)*(Tablo1[[#This Row],[Su]]*100)</f>
        <v>0</v>
      </c>
      <c r="P405" s="52">
        <f>Tablo1[[#This Row],[KALAN ESANS]]+Tablo1[[#This Row],[ALKOL Mik]]+Tablo1[[#This Row],[SU Mik]]</f>
        <v>0</v>
      </c>
    </row>
    <row r="406" spans="1:16" ht="15" customHeight="1" x14ac:dyDescent="0.2">
      <c r="A406" s="19" t="s">
        <v>388</v>
      </c>
      <c r="B406" s="42"/>
      <c r="C406" s="2">
        <v>0.04</v>
      </c>
      <c r="D406" s="2">
        <v>0.02</v>
      </c>
      <c r="E406" s="8">
        <f t="shared" si="6"/>
        <v>0.94</v>
      </c>
      <c r="F406" s="5" t="s">
        <v>38</v>
      </c>
      <c r="G406" s="18" t="s">
        <v>769</v>
      </c>
      <c r="H406" s="58" t="e">
        <f>((Tablo1[[#This Row],[Esans Fiyat]]/#REF!*Tablo1[[#This Row],[Esans]]*100)+(#REF!/1000*Tablo1[[#This Row],[Su]]*100)+(#REF!/1000*Tablo1[[#This Row],[Alkol]]*100))*(#REF!/100)+#REF!</f>
        <v>#REF!</v>
      </c>
      <c r="I406" s="5" t="s">
        <v>776</v>
      </c>
      <c r="J406" s="52" t="e">
        <f>#REF!*Tablo1[[#This Row],[Esans]]</f>
        <v>#REF!</v>
      </c>
      <c r="K406" s="52" t="e">
        <f>#REF!*Tablo1[[#This Row],[Su]]</f>
        <v>#REF!</v>
      </c>
      <c r="L406" s="52" t="e">
        <f>#REF!*Tablo1[[#This Row],[Alkol]]</f>
        <v>#REF!</v>
      </c>
      <c r="M406" s="45"/>
      <c r="N406" s="52">
        <f>(Tablo1[[#This Row],[KALAN ESANS]]/Tablo1[[#This Row],[Esans]]*0.01)*(Tablo1[[#This Row],[Alkol]]*100)</f>
        <v>0</v>
      </c>
      <c r="O406" s="52">
        <f>(Tablo1[[#This Row],[KALAN ESANS]]/Tablo1[[#This Row],[Esans]]*0.01)*(Tablo1[[#This Row],[Su]]*100)</f>
        <v>0</v>
      </c>
      <c r="P406" s="52">
        <f>Tablo1[[#This Row],[KALAN ESANS]]+Tablo1[[#This Row],[ALKOL Mik]]+Tablo1[[#This Row],[SU Mik]]</f>
        <v>0</v>
      </c>
    </row>
    <row r="407" spans="1:16" ht="15" customHeight="1" x14ac:dyDescent="0.2">
      <c r="A407" s="19" t="s">
        <v>387</v>
      </c>
      <c r="B407" s="42"/>
      <c r="C407" s="2">
        <v>0.04</v>
      </c>
      <c r="D407" s="2">
        <v>0.02</v>
      </c>
      <c r="E407" s="8">
        <f t="shared" si="6"/>
        <v>0.94</v>
      </c>
      <c r="F407" s="5" t="s">
        <v>38</v>
      </c>
      <c r="G407" s="18" t="s">
        <v>769</v>
      </c>
      <c r="H407" s="58" t="e">
        <f>((Tablo1[[#This Row],[Esans Fiyat]]/#REF!*Tablo1[[#This Row],[Esans]]*100)+(#REF!/1000*Tablo1[[#This Row],[Su]]*100)+(#REF!/1000*Tablo1[[#This Row],[Alkol]]*100))*(#REF!/100)+#REF!</f>
        <v>#REF!</v>
      </c>
      <c r="I407" s="5" t="s">
        <v>776</v>
      </c>
      <c r="J407" s="52" t="e">
        <f>#REF!*Tablo1[[#This Row],[Esans]]</f>
        <v>#REF!</v>
      </c>
      <c r="K407" s="52" t="e">
        <f>#REF!*Tablo1[[#This Row],[Su]]</f>
        <v>#REF!</v>
      </c>
      <c r="L407" s="52" t="e">
        <f>#REF!*Tablo1[[#This Row],[Alkol]]</f>
        <v>#REF!</v>
      </c>
      <c r="M407" s="45"/>
      <c r="N407" s="52">
        <f>(Tablo1[[#This Row],[KALAN ESANS]]/Tablo1[[#This Row],[Esans]]*0.01)*(Tablo1[[#This Row],[Alkol]]*100)</f>
        <v>0</v>
      </c>
      <c r="O407" s="52">
        <f>(Tablo1[[#This Row],[KALAN ESANS]]/Tablo1[[#This Row],[Esans]]*0.01)*(Tablo1[[#This Row],[Su]]*100)</f>
        <v>0</v>
      </c>
      <c r="P407" s="52">
        <f>Tablo1[[#This Row],[KALAN ESANS]]+Tablo1[[#This Row],[ALKOL Mik]]+Tablo1[[#This Row],[SU Mik]]</f>
        <v>0</v>
      </c>
    </row>
    <row r="408" spans="1:16" ht="15" customHeight="1" x14ac:dyDescent="0.2">
      <c r="A408" s="19" t="s">
        <v>284</v>
      </c>
      <c r="B408" s="42"/>
      <c r="C408" s="2">
        <v>0.2</v>
      </c>
      <c r="D408" s="2">
        <v>0.02</v>
      </c>
      <c r="E408" s="8">
        <f t="shared" si="6"/>
        <v>0.78</v>
      </c>
      <c r="F408" s="5" t="s">
        <v>25</v>
      </c>
      <c r="G408" s="18" t="s">
        <v>769</v>
      </c>
      <c r="H408" s="58" t="e">
        <f>((Tablo1[[#This Row],[Esans Fiyat]]/#REF!*Tablo1[[#This Row],[Esans]]*100)+(#REF!/1000*Tablo1[[#This Row],[Su]]*100)+(#REF!/1000*Tablo1[[#This Row],[Alkol]]*100))*(#REF!/100)+#REF!</f>
        <v>#REF!</v>
      </c>
      <c r="I408" s="5" t="s">
        <v>776</v>
      </c>
      <c r="J408" s="52" t="e">
        <f>#REF!*Tablo1[[#This Row],[Esans]]</f>
        <v>#REF!</v>
      </c>
      <c r="K408" s="52" t="e">
        <f>#REF!*Tablo1[[#This Row],[Su]]</f>
        <v>#REF!</v>
      </c>
      <c r="L408" s="52" t="e">
        <f>#REF!*Tablo1[[#This Row],[Alkol]]</f>
        <v>#REF!</v>
      </c>
      <c r="M408" s="45"/>
      <c r="N408" s="52">
        <f>(Tablo1[[#This Row],[KALAN ESANS]]/Tablo1[[#This Row],[Esans]]*0.01)*(Tablo1[[#This Row],[Alkol]]*100)</f>
        <v>0</v>
      </c>
      <c r="O408" s="52">
        <f>(Tablo1[[#This Row],[KALAN ESANS]]/Tablo1[[#This Row],[Esans]]*0.01)*(Tablo1[[#This Row],[Su]]*100)</f>
        <v>0</v>
      </c>
      <c r="P408" s="52">
        <f>Tablo1[[#This Row],[KALAN ESANS]]+Tablo1[[#This Row],[ALKOL Mik]]+Tablo1[[#This Row],[SU Mik]]</f>
        <v>0</v>
      </c>
    </row>
    <row r="409" spans="1:16" ht="15" customHeight="1" x14ac:dyDescent="0.2">
      <c r="A409" s="19" t="s">
        <v>382</v>
      </c>
      <c r="B409" s="42"/>
      <c r="C409" s="2">
        <v>0.2</v>
      </c>
      <c r="D409" s="2">
        <v>0.02</v>
      </c>
      <c r="E409" s="8">
        <f t="shared" si="6"/>
        <v>0.78</v>
      </c>
      <c r="F409" s="5" t="s">
        <v>25</v>
      </c>
      <c r="G409" s="18" t="s">
        <v>769</v>
      </c>
      <c r="H409" s="58" t="e">
        <f>((Tablo1[[#This Row],[Esans Fiyat]]/#REF!*Tablo1[[#This Row],[Esans]]*100)+(#REF!/1000*Tablo1[[#This Row],[Su]]*100)+(#REF!/1000*Tablo1[[#This Row],[Alkol]]*100))*(#REF!/100)+#REF!</f>
        <v>#REF!</v>
      </c>
      <c r="I409" s="5" t="s">
        <v>772</v>
      </c>
      <c r="J409" s="52" t="e">
        <f>#REF!*Tablo1[[#This Row],[Esans]]</f>
        <v>#REF!</v>
      </c>
      <c r="K409" s="52" t="e">
        <f>#REF!*Tablo1[[#This Row],[Su]]</f>
        <v>#REF!</v>
      </c>
      <c r="L409" s="52" t="e">
        <f>#REF!*Tablo1[[#This Row],[Alkol]]</f>
        <v>#REF!</v>
      </c>
      <c r="M409" s="45"/>
      <c r="N409" s="52">
        <f>(Tablo1[[#This Row],[KALAN ESANS]]/Tablo1[[#This Row],[Esans]]*0.01)*(Tablo1[[#This Row],[Alkol]]*100)</f>
        <v>0</v>
      </c>
      <c r="O409" s="52">
        <f>(Tablo1[[#This Row],[KALAN ESANS]]/Tablo1[[#This Row],[Esans]]*0.01)*(Tablo1[[#This Row],[Su]]*100)</f>
        <v>0</v>
      </c>
      <c r="P409" s="52">
        <f>Tablo1[[#This Row],[KALAN ESANS]]+Tablo1[[#This Row],[ALKOL Mik]]+Tablo1[[#This Row],[SU Mik]]</f>
        <v>0</v>
      </c>
    </row>
    <row r="410" spans="1:16" ht="15" customHeight="1" x14ac:dyDescent="0.2">
      <c r="A410" s="19" t="s">
        <v>381</v>
      </c>
      <c r="B410" s="42"/>
      <c r="C410" s="2">
        <v>0.2</v>
      </c>
      <c r="D410" s="2">
        <v>0.02</v>
      </c>
      <c r="E410" s="8">
        <f t="shared" si="6"/>
        <v>0.78</v>
      </c>
      <c r="F410" s="5" t="s">
        <v>25</v>
      </c>
      <c r="G410" s="18" t="s">
        <v>769</v>
      </c>
      <c r="H410" s="58" t="e">
        <f>((Tablo1[[#This Row],[Esans Fiyat]]/#REF!*Tablo1[[#This Row],[Esans]]*100)+(#REF!/1000*Tablo1[[#This Row],[Su]]*100)+(#REF!/1000*Tablo1[[#This Row],[Alkol]]*100))*(#REF!/100)+#REF!</f>
        <v>#REF!</v>
      </c>
      <c r="I410" s="5" t="s">
        <v>776</v>
      </c>
      <c r="J410" s="52" t="e">
        <f>#REF!*Tablo1[[#This Row],[Esans]]</f>
        <v>#REF!</v>
      </c>
      <c r="K410" s="52" t="e">
        <f>#REF!*Tablo1[[#This Row],[Su]]</f>
        <v>#REF!</v>
      </c>
      <c r="L410" s="52" t="e">
        <f>#REF!*Tablo1[[#This Row],[Alkol]]</f>
        <v>#REF!</v>
      </c>
      <c r="M410" s="45"/>
      <c r="N410" s="52">
        <f>(Tablo1[[#This Row],[KALAN ESANS]]/Tablo1[[#This Row],[Esans]]*0.01)*(Tablo1[[#This Row],[Alkol]]*100)</f>
        <v>0</v>
      </c>
      <c r="O410" s="52">
        <f>(Tablo1[[#This Row],[KALAN ESANS]]/Tablo1[[#This Row],[Esans]]*0.01)*(Tablo1[[#This Row],[Su]]*100)</f>
        <v>0</v>
      </c>
      <c r="P410" s="52">
        <f>Tablo1[[#This Row],[KALAN ESANS]]+Tablo1[[#This Row],[ALKOL Mik]]+Tablo1[[#This Row],[SU Mik]]</f>
        <v>0</v>
      </c>
    </row>
    <row r="411" spans="1:16" ht="15" customHeight="1" x14ac:dyDescent="0.2">
      <c r="A411" s="19" t="s">
        <v>380</v>
      </c>
      <c r="B411" s="42"/>
      <c r="C411" s="2">
        <v>0.15</v>
      </c>
      <c r="D411" s="2">
        <v>0.02</v>
      </c>
      <c r="E411" s="8">
        <f t="shared" si="6"/>
        <v>0.83</v>
      </c>
      <c r="F411" s="5" t="s">
        <v>28</v>
      </c>
      <c r="G411" s="18" t="s">
        <v>769</v>
      </c>
      <c r="H411" s="58" t="e">
        <f>((Tablo1[[#This Row],[Esans Fiyat]]/#REF!*Tablo1[[#This Row],[Esans]]*100)+(#REF!/1000*Tablo1[[#This Row],[Su]]*100)+(#REF!/1000*Tablo1[[#This Row],[Alkol]]*100))*(#REF!/100)+#REF!</f>
        <v>#REF!</v>
      </c>
      <c r="I411" s="5" t="s">
        <v>774</v>
      </c>
      <c r="J411" s="52" t="e">
        <f>#REF!*Tablo1[[#This Row],[Esans]]</f>
        <v>#REF!</v>
      </c>
      <c r="K411" s="52" t="e">
        <f>#REF!*Tablo1[[#This Row],[Su]]</f>
        <v>#REF!</v>
      </c>
      <c r="L411" s="52" t="e">
        <f>#REF!*Tablo1[[#This Row],[Alkol]]</f>
        <v>#REF!</v>
      </c>
      <c r="M411" s="45"/>
      <c r="N411" s="52">
        <f>(Tablo1[[#This Row],[KALAN ESANS]]/Tablo1[[#This Row],[Esans]]*0.01)*(Tablo1[[#This Row],[Alkol]]*100)</f>
        <v>0</v>
      </c>
      <c r="O411" s="52">
        <f>(Tablo1[[#This Row],[KALAN ESANS]]/Tablo1[[#This Row],[Esans]]*0.01)*(Tablo1[[#This Row],[Su]]*100)</f>
        <v>0</v>
      </c>
      <c r="P411" s="52">
        <f>Tablo1[[#This Row],[KALAN ESANS]]+Tablo1[[#This Row],[ALKOL Mik]]+Tablo1[[#This Row],[SU Mik]]</f>
        <v>0</v>
      </c>
    </row>
    <row r="412" spans="1:16" ht="15" customHeight="1" x14ac:dyDescent="0.2">
      <c r="A412" s="19" t="s">
        <v>379</v>
      </c>
      <c r="B412" s="42"/>
      <c r="C412" s="2">
        <v>0.15</v>
      </c>
      <c r="D412" s="2">
        <v>0.02</v>
      </c>
      <c r="E412" s="8">
        <f t="shared" si="6"/>
        <v>0.83</v>
      </c>
      <c r="F412" s="5" t="s">
        <v>28</v>
      </c>
      <c r="G412" s="18" t="s">
        <v>769</v>
      </c>
      <c r="H412" s="58" t="e">
        <f>((Tablo1[[#This Row],[Esans Fiyat]]/#REF!*Tablo1[[#This Row],[Esans]]*100)+(#REF!/1000*Tablo1[[#This Row],[Su]]*100)+(#REF!/1000*Tablo1[[#This Row],[Alkol]]*100))*(#REF!/100)+#REF!</f>
        <v>#REF!</v>
      </c>
      <c r="I412" s="5" t="s">
        <v>776</v>
      </c>
      <c r="J412" s="52" t="e">
        <f>#REF!*Tablo1[[#This Row],[Esans]]</f>
        <v>#REF!</v>
      </c>
      <c r="K412" s="52" t="e">
        <f>#REF!*Tablo1[[#This Row],[Su]]</f>
        <v>#REF!</v>
      </c>
      <c r="L412" s="52" t="e">
        <f>#REF!*Tablo1[[#This Row],[Alkol]]</f>
        <v>#REF!</v>
      </c>
      <c r="M412" s="45"/>
      <c r="N412" s="52">
        <f>(Tablo1[[#This Row],[KALAN ESANS]]/Tablo1[[#This Row],[Esans]]*0.01)*(Tablo1[[#This Row],[Alkol]]*100)</f>
        <v>0</v>
      </c>
      <c r="O412" s="52">
        <f>(Tablo1[[#This Row],[KALAN ESANS]]/Tablo1[[#This Row],[Esans]]*0.01)*(Tablo1[[#This Row],[Su]]*100)</f>
        <v>0</v>
      </c>
      <c r="P412" s="52">
        <f>Tablo1[[#This Row],[KALAN ESANS]]+Tablo1[[#This Row],[ALKOL Mik]]+Tablo1[[#This Row],[SU Mik]]</f>
        <v>0</v>
      </c>
    </row>
    <row r="413" spans="1:16" ht="15" customHeight="1" x14ac:dyDescent="0.2">
      <c r="A413" s="19" t="s">
        <v>383</v>
      </c>
      <c r="B413" s="42"/>
      <c r="C413" s="2">
        <v>0.15</v>
      </c>
      <c r="D413" s="2">
        <v>0.02</v>
      </c>
      <c r="E413" s="8">
        <f t="shared" si="6"/>
        <v>0.83</v>
      </c>
      <c r="F413" s="5" t="s">
        <v>28</v>
      </c>
      <c r="G413" s="18" t="s">
        <v>769</v>
      </c>
      <c r="H413" s="58" t="e">
        <f>((Tablo1[[#This Row],[Esans Fiyat]]/#REF!*Tablo1[[#This Row],[Esans]]*100)+(#REF!/1000*Tablo1[[#This Row],[Su]]*100)+(#REF!/1000*Tablo1[[#This Row],[Alkol]]*100))*(#REF!/100)+#REF!</f>
        <v>#REF!</v>
      </c>
      <c r="I413" s="5" t="s">
        <v>776</v>
      </c>
      <c r="J413" s="52" t="e">
        <f>#REF!*Tablo1[[#This Row],[Esans]]</f>
        <v>#REF!</v>
      </c>
      <c r="K413" s="52" t="e">
        <f>#REF!*Tablo1[[#This Row],[Su]]</f>
        <v>#REF!</v>
      </c>
      <c r="L413" s="52" t="e">
        <f>#REF!*Tablo1[[#This Row],[Alkol]]</f>
        <v>#REF!</v>
      </c>
      <c r="M413" s="45"/>
      <c r="N413" s="52">
        <f>(Tablo1[[#This Row],[KALAN ESANS]]/Tablo1[[#This Row],[Esans]]*0.01)*(Tablo1[[#This Row],[Alkol]]*100)</f>
        <v>0</v>
      </c>
      <c r="O413" s="52">
        <f>(Tablo1[[#This Row],[KALAN ESANS]]/Tablo1[[#This Row],[Esans]]*0.01)*(Tablo1[[#This Row],[Su]]*100)</f>
        <v>0</v>
      </c>
      <c r="P413" s="52">
        <f>Tablo1[[#This Row],[KALAN ESANS]]+Tablo1[[#This Row],[ALKOL Mik]]+Tablo1[[#This Row],[SU Mik]]</f>
        <v>0</v>
      </c>
    </row>
    <row r="414" spans="1:16" ht="15" customHeight="1" x14ac:dyDescent="0.2">
      <c r="A414" s="19" t="s">
        <v>378</v>
      </c>
      <c r="B414" s="42"/>
      <c r="C414" s="2">
        <v>0.2</v>
      </c>
      <c r="D414" s="2">
        <v>0</v>
      </c>
      <c r="E414" s="8">
        <f t="shared" si="6"/>
        <v>0.8</v>
      </c>
      <c r="F414" s="5" t="s">
        <v>25</v>
      </c>
      <c r="G414" s="18" t="s">
        <v>769</v>
      </c>
      <c r="H414" s="58" t="e">
        <f>((Tablo1[[#This Row],[Esans Fiyat]]/#REF!*Tablo1[[#This Row],[Esans]]*100)+(#REF!/1000*Tablo1[[#This Row],[Su]]*100)+(#REF!/1000*Tablo1[[#This Row],[Alkol]]*100))*(#REF!/100)+#REF!</f>
        <v>#REF!</v>
      </c>
      <c r="I414" s="5" t="s">
        <v>776</v>
      </c>
      <c r="J414" s="52" t="e">
        <f>#REF!*Tablo1[[#This Row],[Esans]]</f>
        <v>#REF!</v>
      </c>
      <c r="K414" s="52" t="e">
        <f>#REF!*Tablo1[[#This Row],[Su]]</f>
        <v>#REF!</v>
      </c>
      <c r="L414" s="52" t="e">
        <f>#REF!*Tablo1[[#This Row],[Alkol]]</f>
        <v>#REF!</v>
      </c>
      <c r="M414" s="45"/>
      <c r="N414" s="52">
        <f>(Tablo1[[#This Row],[KALAN ESANS]]/Tablo1[[#This Row],[Esans]]*0.01)*(Tablo1[[#This Row],[Alkol]]*100)</f>
        <v>0</v>
      </c>
      <c r="O414" s="52">
        <f>(Tablo1[[#This Row],[KALAN ESANS]]/Tablo1[[#This Row],[Esans]]*0.01)*(Tablo1[[#This Row],[Su]]*100)</f>
        <v>0</v>
      </c>
      <c r="P414" s="52">
        <f>Tablo1[[#This Row],[KALAN ESANS]]+Tablo1[[#This Row],[ALKOL Mik]]+Tablo1[[#This Row],[SU Mik]]</f>
        <v>0</v>
      </c>
    </row>
    <row r="415" spans="1:16" ht="15" customHeight="1" x14ac:dyDescent="0.2">
      <c r="A415" s="19" t="s">
        <v>377</v>
      </c>
      <c r="B415" s="42"/>
      <c r="C415" s="2">
        <v>0.2</v>
      </c>
      <c r="D415" s="2">
        <v>0</v>
      </c>
      <c r="E415" s="8">
        <f t="shared" si="6"/>
        <v>0.8</v>
      </c>
      <c r="F415" s="5" t="s">
        <v>25</v>
      </c>
      <c r="G415" s="18" t="s">
        <v>769</v>
      </c>
      <c r="H415" s="58" t="e">
        <f>((Tablo1[[#This Row],[Esans Fiyat]]/#REF!*Tablo1[[#This Row],[Esans]]*100)+(#REF!/1000*Tablo1[[#This Row],[Su]]*100)+(#REF!/1000*Tablo1[[#This Row],[Alkol]]*100))*(#REF!/100)+#REF!</f>
        <v>#REF!</v>
      </c>
      <c r="I415" s="5" t="s">
        <v>776</v>
      </c>
      <c r="J415" s="52" t="e">
        <f>#REF!*Tablo1[[#This Row],[Esans]]</f>
        <v>#REF!</v>
      </c>
      <c r="K415" s="52" t="e">
        <f>#REF!*Tablo1[[#This Row],[Su]]</f>
        <v>#REF!</v>
      </c>
      <c r="L415" s="52" t="e">
        <f>#REF!*Tablo1[[#This Row],[Alkol]]</f>
        <v>#REF!</v>
      </c>
      <c r="M415" s="45"/>
      <c r="N415" s="52">
        <f>(Tablo1[[#This Row],[KALAN ESANS]]/Tablo1[[#This Row],[Esans]]*0.01)*(Tablo1[[#This Row],[Alkol]]*100)</f>
        <v>0</v>
      </c>
      <c r="O415" s="52">
        <f>(Tablo1[[#This Row],[KALAN ESANS]]/Tablo1[[#This Row],[Esans]]*0.01)*(Tablo1[[#This Row],[Su]]*100)</f>
        <v>0</v>
      </c>
      <c r="P415" s="52">
        <f>Tablo1[[#This Row],[KALAN ESANS]]+Tablo1[[#This Row],[ALKOL Mik]]+Tablo1[[#This Row],[SU Mik]]</f>
        <v>0</v>
      </c>
    </row>
    <row r="416" spans="1:16" ht="15" customHeight="1" x14ac:dyDescent="0.2">
      <c r="A416" s="19" t="s">
        <v>376</v>
      </c>
      <c r="B416" s="42"/>
      <c r="C416" s="2">
        <v>0.2</v>
      </c>
      <c r="D416" s="2">
        <v>0.02</v>
      </c>
      <c r="E416" s="8">
        <f t="shared" si="6"/>
        <v>0.78</v>
      </c>
      <c r="F416" s="5" t="s">
        <v>25</v>
      </c>
      <c r="G416" s="18" t="s">
        <v>769</v>
      </c>
      <c r="H416" s="58" t="e">
        <f>((Tablo1[[#This Row],[Esans Fiyat]]/#REF!*Tablo1[[#This Row],[Esans]]*100)+(#REF!/1000*Tablo1[[#This Row],[Su]]*100)+(#REF!/1000*Tablo1[[#This Row],[Alkol]]*100))*(#REF!/100)+#REF!</f>
        <v>#REF!</v>
      </c>
      <c r="I416" s="5" t="s">
        <v>776</v>
      </c>
      <c r="J416" s="52" t="e">
        <f>#REF!*Tablo1[[#This Row],[Esans]]</f>
        <v>#REF!</v>
      </c>
      <c r="K416" s="52" t="e">
        <f>#REF!*Tablo1[[#This Row],[Su]]</f>
        <v>#REF!</v>
      </c>
      <c r="L416" s="52" t="e">
        <f>#REF!*Tablo1[[#This Row],[Alkol]]</f>
        <v>#REF!</v>
      </c>
      <c r="M416" s="45"/>
      <c r="N416" s="52">
        <f>(Tablo1[[#This Row],[KALAN ESANS]]/Tablo1[[#This Row],[Esans]]*0.01)*(Tablo1[[#This Row],[Alkol]]*100)</f>
        <v>0</v>
      </c>
      <c r="O416" s="52">
        <f>(Tablo1[[#This Row],[KALAN ESANS]]/Tablo1[[#This Row],[Esans]]*0.01)*(Tablo1[[#This Row],[Su]]*100)</f>
        <v>0</v>
      </c>
      <c r="P416" s="52">
        <f>Tablo1[[#This Row],[KALAN ESANS]]+Tablo1[[#This Row],[ALKOL Mik]]+Tablo1[[#This Row],[SU Mik]]</f>
        <v>0</v>
      </c>
    </row>
    <row r="417" spans="1:16" ht="15" customHeight="1" x14ac:dyDescent="0.2">
      <c r="A417" s="19" t="s">
        <v>375</v>
      </c>
      <c r="B417" s="42"/>
      <c r="C417" s="2">
        <v>0.2</v>
      </c>
      <c r="D417" s="2">
        <v>0.02</v>
      </c>
      <c r="E417" s="8">
        <f t="shared" si="6"/>
        <v>0.78</v>
      </c>
      <c r="F417" s="5" t="s">
        <v>25</v>
      </c>
      <c r="G417" s="18" t="s">
        <v>769</v>
      </c>
      <c r="H417" s="58" t="e">
        <f>((Tablo1[[#This Row],[Esans Fiyat]]/#REF!*Tablo1[[#This Row],[Esans]]*100)+(#REF!/1000*Tablo1[[#This Row],[Su]]*100)+(#REF!/1000*Tablo1[[#This Row],[Alkol]]*100))*(#REF!/100)+#REF!</f>
        <v>#REF!</v>
      </c>
      <c r="I417" s="5" t="s">
        <v>778</v>
      </c>
      <c r="J417" s="52" t="e">
        <f>#REF!*Tablo1[[#This Row],[Esans]]</f>
        <v>#REF!</v>
      </c>
      <c r="K417" s="52" t="e">
        <f>#REF!*Tablo1[[#This Row],[Su]]</f>
        <v>#REF!</v>
      </c>
      <c r="L417" s="52" t="e">
        <f>#REF!*Tablo1[[#This Row],[Alkol]]</f>
        <v>#REF!</v>
      </c>
      <c r="M417" s="45"/>
      <c r="N417" s="52">
        <f>(Tablo1[[#This Row],[KALAN ESANS]]/Tablo1[[#This Row],[Esans]]*0.01)*(Tablo1[[#This Row],[Alkol]]*100)</f>
        <v>0</v>
      </c>
      <c r="O417" s="52">
        <f>(Tablo1[[#This Row],[KALAN ESANS]]/Tablo1[[#This Row],[Esans]]*0.01)*(Tablo1[[#This Row],[Su]]*100)</f>
        <v>0</v>
      </c>
      <c r="P417" s="52">
        <f>Tablo1[[#This Row],[KALAN ESANS]]+Tablo1[[#This Row],[ALKOL Mik]]+Tablo1[[#This Row],[SU Mik]]</f>
        <v>0</v>
      </c>
    </row>
    <row r="418" spans="1:16" ht="15" customHeight="1" x14ac:dyDescent="0.2">
      <c r="A418" s="19" t="s">
        <v>374</v>
      </c>
      <c r="B418" s="42"/>
      <c r="C418" s="2">
        <v>0.2</v>
      </c>
      <c r="D418" s="2">
        <v>0.02</v>
      </c>
      <c r="E418" s="8">
        <f t="shared" si="6"/>
        <v>0.78</v>
      </c>
      <c r="F418" s="5" t="s">
        <v>25</v>
      </c>
      <c r="G418" s="18" t="s">
        <v>769</v>
      </c>
      <c r="H418" s="58" t="e">
        <f>((Tablo1[[#This Row],[Esans Fiyat]]/#REF!*Tablo1[[#This Row],[Esans]]*100)+(#REF!/1000*Tablo1[[#This Row],[Su]]*100)+(#REF!/1000*Tablo1[[#This Row],[Alkol]]*100))*(#REF!/100)+#REF!</f>
        <v>#REF!</v>
      </c>
      <c r="I418" s="5" t="s">
        <v>782</v>
      </c>
      <c r="J418" s="52" t="e">
        <f>#REF!*Tablo1[[#This Row],[Esans]]</f>
        <v>#REF!</v>
      </c>
      <c r="K418" s="52" t="e">
        <f>#REF!*Tablo1[[#This Row],[Su]]</f>
        <v>#REF!</v>
      </c>
      <c r="L418" s="52" t="e">
        <f>#REF!*Tablo1[[#This Row],[Alkol]]</f>
        <v>#REF!</v>
      </c>
      <c r="M418" s="45"/>
      <c r="N418" s="52">
        <f>(Tablo1[[#This Row],[KALAN ESANS]]/Tablo1[[#This Row],[Esans]]*0.01)*(Tablo1[[#This Row],[Alkol]]*100)</f>
        <v>0</v>
      </c>
      <c r="O418" s="52">
        <f>(Tablo1[[#This Row],[KALAN ESANS]]/Tablo1[[#This Row],[Esans]]*0.01)*(Tablo1[[#This Row],[Su]]*100)</f>
        <v>0</v>
      </c>
      <c r="P418" s="52">
        <f>Tablo1[[#This Row],[KALAN ESANS]]+Tablo1[[#This Row],[ALKOL Mik]]+Tablo1[[#This Row],[SU Mik]]</f>
        <v>0</v>
      </c>
    </row>
    <row r="419" spans="1:16" ht="15" customHeight="1" x14ac:dyDescent="0.2">
      <c r="A419" s="19" t="s">
        <v>372</v>
      </c>
      <c r="B419" s="42"/>
      <c r="C419" s="2">
        <v>0.12</v>
      </c>
      <c r="D419" s="2">
        <v>0.02</v>
      </c>
      <c r="E419" s="8">
        <f t="shared" si="6"/>
        <v>0.86</v>
      </c>
      <c r="F419" s="5" t="s">
        <v>25</v>
      </c>
      <c r="G419" s="18" t="s">
        <v>769</v>
      </c>
      <c r="H419" s="58" t="e">
        <f>((Tablo1[[#This Row],[Esans Fiyat]]/#REF!*Tablo1[[#This Row],[Esans]]*100)+(#REF!/1000*Tablo1[[#This Row],[Su]]*100)+(#REF!/1000*Tablo1[[#This Row],[Alkol]]*100))*(#REF!/100)+#REF!</f>
        <v>#REF!</v>
      </c>
      <c r="I419" s="5" t="s">
        <v>772</v>
      </c>
      <c r="J419" s="52" t="e">
        <f>#REF!*Tablo1[[#This Row],[Esans]]</f>
        <v>#REF!</v>
      </c>
      <c r="K419" s="52" t="e">
        <f>#REF!*Tablo1[[#This Row],[Su]]</f>
        <v>#REF!</v>
      </c>
      <c r="L419" s="52" t="e">
        <f>#REF!*Tablo1[[#This Row],[Alkol]]</f>
        <v>#REF!</v>
      </c>
      <c r="M419" s="45"/>
      <c r="N419" s="52">
        <f>(Tablo1[[#This Row],[KALAN ESANS]]/Tablo1[[#This Row],[Esans]]*0.01)*(Tablo1[[#This Row],[Alkol]]*100)</f>
        <v>0</v>
      </c>
      <c r="O419" s="52">
        <f>(Tablo1[[#This Row],[KALAN ESANS]]/Tablo1[[#This Row],[Esans]]*0.01)*(Tablo1[[#This Row],[Su]]*100)</f>
        <v>0</v>
      </c>
      <c r="P419" s="52">
        <f>Tablo1[[#This Row],[KALAN ESANS]]+Tablo1[[#This Row],[ALKOL Mik]]+Tablo1[[#This Row],[SU Mik]]</f>
        <v>0</v>
      </c>
    </row>
    <row r="420" spans="1:16" ht="15" customHeight="1" x14ac:dyDescent="0.2">
      <c r="A420" s="19" t="s">
        <v>371</v>
      </c>
      <c r="B420" s="42"/>
      <c r="C420" s="2">
        <v>0.2</v>
      </c>
      <c r="D420" s="2">
        <v>0.02</v>
      </c>
      <c r="E420" s="8">
        <f t="shared" si="6"/>
        <v>0.78</v>
      </c>
      <c r="F420" s="5" t="s">
        <v>25</v>
      </c>
      <c r="G420" s="18" t="s">
        <v>769</v>
      </c>
      <c r="H420" s="58" t="e">
        <f>((Tablo1[[#This Row],[Esans Fiyat]]/#REF!*Tablo1[[#This Row],[Esans]]*100)+(#REF!/1000*Tablo1[[#This Row],[Su]]*100)+(#REF!/1000*Tablo1[[#This Row],[Alkol]]*100))*(#REF!/100)+#REF!</f>
        <v>#REF!</v>
      </c>
      <c r="I420" s="5" t="s">
        <v>782</v>
      </c>
      <c r="J420" s="52" t="e">
        <f>#REF!*Tablo1[[#This Row],[Esans]]</f>
        <v>#REF!</v>
      </c>
      <c r="K420" s="52" t="e">
        <f>#REF!*Tablo1[[#This Row],[Su]]</f>
        <v>#REF!</v>
      </c>
      <c r="L420" s="52" t="e">
        <f>#REF!*Tablo1[[#This Row],[Alkol]]</f>
        <v>#REF!</v>
      </c>
      <c r="M420" s="45"/>
      <c r="N420" s="52">
        <f>(Tablo1[[#This Row],[KALAN ESANS]]/Tablo1[[#This Row],[Esans]]*0.01)*(Tablo1[[#This Row],[Alkol]]*100)</f>
        <v>0</v>
      </c>
      <c r="O420" s="52">
        <f>(Tablo1[[#This Row],[KALAN ESANS]]/Tablo1[[#This Row],[Esans]]*0.01)*(Tablo1[[#This Row],[Su]]*100)</f>
        <v>0</v>
      </c>
      <c r="P420" s="52">
        <f>Tablo1[[#This Row],[KALAN ESANS]]+Tablo1[[#This Row],[ALKOL Mik]]+Tablo1[[#This Row],[SU Mik]]</f>
        <v>0</v>
      </c>
    </row>
    <row r="421" spans="1:16" ht="15" customHeight="1" x14ac:dyDescent="0.2">
      <c r="A421" s="19" t="s">
        <v>369</v>
      </c>
      <c r="B421" s="42"/>
      <c r="C421" s="2">
        <v>0.15</v>
      </c>
      <c r="D421" s="2">
        <v>0.02</v>
      </c>
      <c r="E421" s="8">
        <f t="shared" si="6"/>
        <v>0.83</v>
      </c>
      <c r="F421" s="5" t="s">
        <v>28</v>
      </c>
      <c r="G421" s="18" t="s">
        <v>769</v>
      </c>
      <c r="H421" s="58" t="e">
        <f>((Tablo1[[#This Row],[Esans Fiyat]]/#REF!*Tablo1[[#This Row],[Esans]]*100)+(#REF!/1000*Tablo1[[#This Row],[Su]]*100)+(#REF!/1000*Tablo1[[#This Row],[Alkol]]*100))*(#REF!/100)+#REF!</f>
        <v>#REF!</v>
      </c>
      <c r="I421" s="5" t="s">
        <v>772</v>
      </c>
      <c r="J421" s="52" t="e">
        <f>#REF!*Tablo1[[#This Row],[Esans]]</f>
        <v>#REF!</v>
      </c>
      <c r="K421" s="52" t="e">
        <f>#REF!*Tablo1[[#This Row],[Su]]</f>
        <v>#REF!</v>
      </c>
      <c r="L421" s="52" t="e">
        <f>#REF!*Tablo1[[#This Row],[Alkol]]</f>
        <v>#REF!</v>
      </c>
      <c r="M421" s="45"/>
      <c r="N421" s="52">
        <f>(Tablo1[[#This Row],[KALAN ESANS]]/Tablo1[[#This Row],[Esans]]*0.01)*(Tablo1[[#This Row],[Alkol]]*100)</f>
        <v>0</v>
      </c>
      <c r="O421" s="52">
        <f>(Tablo1[[#This Row],[KALAN ESANS]]/Tablo1[[#This Row],[Esans]]*0.01)*(Tablo1[[#This Row],[Su]]*100)</f>
        <v>0</v>
      </c>
      <c r="P421" s="52">
        <f>Tablo1[[#This Row],[KALAN ESANS]]+Tablo1[[#This Row],[ALKOL Mik]]+Tablo1[[#This Row],[SU Mik]]</f>
        <v>0</v>
      </c>
    </row>
    <row r="422" spans="1:16" ht="15" customHeight="1" x14ac:dyDescent="0.2">
      <c r="A422" s="19" t="s">
        <v>370</v>
      </c>
      <c r="B422" s="42"/>
      <c r="C422" s="2">
        <v>0.15</v>
      </c>
      <c r="D422" s="2">
        <v>0.02</v>
      </c>
      <c r="E422" s="8">
        <f t="shared" si="6"/>
        <v>0.83</v>
      </c>
      <c r="F422" s="5" t="s">
        <v>28</v>
      </c>
      <c r="G422" s="18" t="s">
        <v>769</v>
      </c>
      <c r="H422" s="58" t="e">
        <f>((Tablo1[[#This Row],[Esans Fiyat]]/#REF!*Tablo1[[#This Row],[Esans]]*100)+(#REF!/1000*Tablo1[[#This Row],[Su]]*100)+(#REF!/1000*Tablo1[[#This Row],[Alkol]]*100))*(#REF!/100)+#REF!</f>
        <v>#REF!</v>
      </c>
      <c r="I422" s="5" t="s">
        <v>776</v>
      </c>
      <c r="J422" s="52" t="e">
        <f>#REF!*Tablo1[[#This Row],[Esans]]</f>
        <v>#REF!</v>
      </c>
      <c r="K422" s="52" t="e">
        <f>#REF!*Tablo1[[#This Row],[Su]]</f>
        <v>#REF!</v>
      </c>
      <c r="L422" s="52" t="e">
        <f>#REF!*Tablo1[[#This Row],[Alkol]]</f>
        <v>#REF!</v>
      </c>
      <c r="M422" s="45"/>
      <c r="N422" s="52">
        <f>(Tablo1[[#This Row],[KALAN ESANS]]/Tablo1[[#This Row],[Esans]]*0.01)*(Tablo1[[#This Row],[Alkol]]*100)</f>
        <v>0</v>
      </c>
      <c r="O422" s="52">
        <f>(Tablo1[[#This Row],[KALAN ESANS]]/Tablo1[[#This Row],[Esans]]*0.01)*(Tablo1[[#This Row],[Su]]*100)</f>
        <v>0</v>
      </c>
      <c r="P422" s="52">
        <f>Tablo1[[#This Row],[KALAN ESANS]]+Tablo1[[#This Row],[ALKOL Mik]]+Tablo1[[#This Row],[SU Mik]]</f>
        <v>0</v>
      </c>
    </row>
    <row r="423" spans="1:16" ht="15" customHeight="1" x14ac:dyDescent="0.2">
      <c r="A423" s="19" t="s">
        <v>368</v>
      </c>
      <c r="B423" s="42"/>
      <c r="C423" s="2">
        <v>0.2</v>
      </c>
      <c r="D423" s="2">
        <v>0.02</v>
      </c>
      <c r="E423" s="8">
        <f t="shared" si="6"/>
        <v>0.78</v>
      </c>
      <c r="F423" s="5" t="s">
        <v>25</v>
      </c>
      <c r="G423" s="18" t="s">
        <v>769</v>
      </c>
      <c r="H423" s="58" t="e">
        <f>((Tablo1[[#This Row],[Esans Fiyat]]/#REF!*Tablo1[[#This Row],[Esans]]*100)+(#REF!/1000*Tablo1[[#This Row],[Su]]*100)+(#REF!/1000*Tablo1[[#This Row],[Alkol]]*100))*(#REF!/100)+#REF!</f>
        <v>#REF!</v>
      </c>
      <c r="I423" s="5" t="s">
        <v>776</v>
      </c>
      <c r="J423" s="52" t="e">
        <f>#REF!*Tablo1[[#This Row],[Esans]]</f>
        <v>#REF!</v>
      </c>
      <c r="K423" s="52" t="e">
        <f>#REF!*Tablo1[[#This Row],[Su]]</f>
        <v>#REF!</v>
      </c>
      <c r="L423" s="52" t="e">
        <f>#REF!*Tablo1[[#This Row],[Alkol]]</f>
        <v>#REF!</v>
      </c>
      <c r="M423" s="45"/>
      <c r="N423" s="52">
        <f>(Tablo1[[#This Row],[KALAN ESANS]]/Tablo1[[#This Row],[Esans]]*0.01)*(Tablo1[[#This Row],[Alkol]]*100)</f>
        <v>0</v>
      </c>
      <c r="O423" s="52">
        <f>(Tablo1[[#This Row],[KALAN ESANS]]/Tablo1[[#This Row],[Esans]]*0.01)*(Tablo1[[#This Row],[Su]]*100)</f>
        <v>0</v>
      </c>
      <c r="P423" s="52">
        <f>Tablo1[[#This Row],[KALAN ESANS]]+Tablo1[[#This Row],[ALKOL Mik]]+Tablo1[[#This Row],[SU Mik]]</f>
        <v>0</v>
      </c>
    </row>
    <row r="424" spans="1:16" ht="15" customHeight="1" x14ac:dyDescent="0.2">
      <c r="A424" s="19" t="s">
        <v>367</v>
      </c>
      <c r="B424" s="42"/>
      <c r="C424" s="2">
        <v>0.2</v>
      </c>
      <c r="D424" s="2">
        <v>0.02</v>
      </c>
      <c r="E424" s="8">
        <f t="shared" si="6"/>
        <v>0.78</v>
      </c>
      <c r="F424" s="5" t="s">
        <v>25</v>
      </c>
      <c r="G424" s="18" t="s">
        <v>769</v>
      </c>
      <c r="H424" s="58" t="e">
        <f>((Tablo1[[#This Row],[Esans Fiyat]]/#REF!*Tablo1[[#This Row],[Esans]]*100)+(#REF!/1000*Tablo1[[#This Row],[Su]]*100)+(#REF!/1000*Tablo1[[#This Row],[Alkol]]*100))*(#REF!/100)+#REF!</f>
        <v>#REF!</v>
      </c>
      <c r="I424" s="5" t="s">
        <v>776</v>
      </c>
      <c r="J424" s="52" t="e">
        <f>#REF!*Tablo1[[#This Row],[Esans]]</f>
        <v>#REF!</v>
      </c>
      <c r="K424" s="52" t="e">
        <f>#REF!*Tablo1[[#This Row],[Su]]</f>
        <v>#REF!</v>
      </c>
      <c r="L424" s="52" t="e">
        <f>#REF!*Tablo1[[#This Row],[Alkol]]</f>
        <v>#REF!</v>
      </c>
      <c r="M424" s="45"/>
      <c r="N424" s="52">
        <f>(Tablo1[[#This Row],[KALAN ESANS]]/Tablo1[[#This Row],[Esans]]*0.01)*(Tablo1[[#This Row],[Alkol]]*100)</f>
        <v>0</v>
      </c>
      <c r="O424" s="52">
        <f>(Tablo1[[#This Row],[KALAN ESANS]]/Tablo1[[#This Row],[Esans]]*0.01)*(Tablo1[[#This Row],[Su]]*100)</f>
        <v>0</v>
      </c>
      <c r="P424" s="52">
        <f>Tablo1[[#This Row],[KALAN ESANS]]+Tablo1[[#This Row],[ALKOL Mik]]+Tablo1[[#This Row],[SU Mik]]</f>
        <v>0</v>
      </c>
    </row>
    <row r="425" spans="1:16" ht="15" customHeight="1" x14ac:dyDescent="0.2">
      <c r="A425" s="19" t="s">
        <v>366</v>
      </c>
      <c r="B425" s="42"/>
      <c r="C425" s="2">
        <v>0.2</v>
      </c>
      <c r="D425" s="2">
        <v>0.02</v>
      </c>
      <c r="E425" s="8">
        <f t="shared" si="6"/>
        <v>0.78</v>
      </c>
      <c r="F425" s="5" t="s">
        <v>25</v>
      </c>
      <c r="G425" s="18" t="s">
        <v>769</v>
      </c>
      <c r="H425" s="58" t="e">
        <f>((Tablo1[[#This Row],[Esans Fiyat]]/#REF!*Tablo1[[#This Row],[Esans]]*100)+(#REF!/1000*Tablo1[[#This Row],[Su]]*100)+(#REF!/1000*Tablo1[[#This Row],[Alkol]]*100))*(#REF!/100)+#REF!</f>
        <v>#REF!</v>
      </c>
      <c r="I425" s="5" t="s">
        <v>776</v>
      </c>
      <c r="J425" s="52" t="e">
        <f>#REF!*Tablo1[[#This Row],[Esans]]</f>
        <v>#REF!</v>
      </c>
      <c r="K425" s="52" t="e">
        <f>#REF!*Tablo1[[#This Row],[Su]]</f>
        <v>#REF!</v>
      </c>
      <c r="L425" s="52" t="e">
        <f>#REF!*Tablo1[[#This Row],[Alkol]]</f>
        <v>#REF!</v>
      </c>
      <c r="M425" s="45"/>
      <c r="N425" s="52">
        <f>(Tablo1[[#This Row],[KALAN ESANS]]/Tablo1[[#This Row],[Esans]]*0.01)*(Tablo1[[#This Row],[Alkol]]*100)</f>
        <v>0</v>
      </c>
      <c r="O425" s="52">
        <f>(Tablo1[[#This Row],[KALAN ESANS]]/Tablo1[[#This Row],[Esans]]*0.01)*(Tablo1[[#This Row],[Su]]*100)</f>
        <v>0</v>
      </c>
      <c r="P425" s="52">
        <f>Tablo1[[#This Row],[KALAN ESANS]]+Tablo1[[#This Row],[ALKOL Mik]]+Tablo1[[#This Row],[SU Mik]]</f>
        <v>0</v>
      </c>
    </row>
    <row r="426" spans="1:16" ht="15" customHeight="1" x14ac:dyDescent="0.2">
      <c r="A426" s="19" t="s">
        <v>363</v>
      </c>
      <c r="B426" s="42"/>
      <c r="C426" s="2">
        <v>0.18</v>
      </c>
      <c r="D426" s="2">
        <v>0.02</v>
      </c>
      <c r="E426" s="8">
        <f t="shared" si="6"/>
        <v>0.8</v>
      </c>
      <c r="F426" s="5" t="s">
        <v>25</v>
      </c>
      <c r="G426" s="18" t="s">
        <v>769</v>
      </c>
      <c r="H426" s="58" t="e">
        <f>((Tablo1[[#This Row],[Esans Fiyat]]/#REF!*Tablo1[[#This Row],[Esans]]*100)+(#REF!/1000*Tablo1[[#This Row],[Su]]*100)+(#REF!/1000*Tablo1[[#This Row],[Alkol]]*100))*(#REF!/100)+#REF!</f>
        <v>#REF!</v>
      </c>
      <c r="I426" s="5" t="s">
        <v>782</v>
      </c>
      <c r="J426" s="52" t="e">
        <f>#REF!*Tablo1[[#This Row],[Esans]]</f>
        <v>#REF!</v>
      </c>
      <c r="K426" s="52" t="e">
        <f>#REF!*Tablo1[[#This Row],[Su]]</f>
        <v>#REF!</v>
      </c>
      <c r="L426" s="52" t="e">
        <f>#REF!*Tablo1[[#This Row],[Alkol]]</f>
        <v>#REF!</v>
      </c>
      <c r="M426" s="45"/>
      <c r="N426" s="52">
        <f>(Tablo1[[#This Row],[KALAN ESANS]]/Tablo1[[#This Row],[Esans]]*0.01)*(Tablo1[[#This Row],[Alkol]]*100)</f>
        <v>0</v>
      </c>
      <c r="O426" s="52">
        <f>(Tablo1[[#This Row],[KALAN ESANS]]/Tablo1[[#This Row],[Esans]]*0.01)*(Tablo1[[#This Row],[Su]]*100)</f>
        <v>0</v>
      </c>
      <c r="P426" s="52">
        <f>Tablo1[[#This Row],[KALAN ESANS]]+Tablo1[[#This Row],[ALKOL Mik]]+Tablo1[[#This Row],[SU Mik]]</f>
        <v>0</v>
      </c>
    </row>
    <row r="427" spans="1:16" ht="15" customHeight="1" x14ac:dyDescent="0.2">
      <c r="A427" s="19" t="s">
        <v>365</v>
      </c>
      <c r="B427" s="42"/>
      <c r="C427" s="2">
        <v>0.2</v>
      </c>
      <c r="D427" s="2">
        <v>0.02</v>
      </c>
      <c r="E427" s="8">
        <f t="shared" si="6"/>
        <v>0.78</v>
      </c>
      <c r="F427" s="5" t="s">
        <v>25</v>
      </c>
      <c r="G427" s="18" t="s">
        <v>769</v>
      </c>
      <c r="H427" s="58" t="e">
        <f>((Tablo1[[#This Row],[Esans Fiyat]]/#REF!*Tablo1[[#This Row],[Esans]]*100)+(#REF!/1000*Tablo1[[#This Row],[Su]]*100)+(#REF!/1000*Tablo1[[#This Row],[Alkol]]*100))*(#REF!/100)+#REF!</f>
        <v>#REF!</v>
      </c>
      <c r="I427" s="5" t="s">
        <v>776</v>
      </c>
      <c r="J427" s="52" t="e">
        <f>#REF!*Tablo1[[#This Row],[Esans]]</f>
        <v>#REF!</v>
      </c>
      <c r="K427" s="52" t="e">
        <f>#REF!*Tablo1[[#This Row],[Su]]</f>
        <v>#REF!</v>
      </c>
      <c r="L427" s="52" t="e">
        <f>#REF!*Tablo1[[#This Row],[Alkol]]</f>
        <v>#REF!</v>
      </c>
      <c r="M427" s="45"/>
      <c r="N427" s="52">
        <f>(Tablo1[[#This Row],[KALAN ESANS]]/Tablo1[[#This Row],[Esans]]*0.01)*(Tablo1[[#This Row],[Alkol]]*100)</f>
        <v>0</v>
      </c>
      <c r="O427" s="52">
        <f>(Tablo1[[#This Row],[KALAN ESANS]]/Tablo1[[#This Row],[Esans]]*0.01)*(Tablo1[[#This Row],[Su]]*100)</f>
        <v>0</v>
      </c>
      <c r="P427" s="52">
        <f>Tablo1[[#This Row],[KALAN ESANS]]+Tablo1[[#This Row],[ALKOL Mik]]+Tablo1[[#This Row],[SU Mik]]</f>
        <v>0</v>
      </c>
    </row>
    <row r="428" spans="1:16" ht="15" customHeight="1" x14ac:dyDescent="0.2">
      <c r="A428" s="19" t="s">
        <v>364</v>
      </c>
      <c r="B428" s="42"/>
      <c r="C428" s="2">
        <v>0.2</v>
      </c>
      <c r="D428" s="2">
        <v>0</v>
      </c>
      <c r="E428" s="8">
        <f t="shared" si="6"/>
        <v>0.8</v>
      </c>
      <c r="F428" s="5" t="s">
        <v>25</v>
      </c>
      <c r="G428" s="18" t="s">
        <v>769</v>
      </c>
      <c r="H428" s="58" t="e">
        <f>((Tablo1[[#This Row],[Esans Fiyat]]/#REF!*Tablo1[[#This Row],[Esans]]*100)+(#REF!/1000*Tablo1[[#This Row],[Su]]*100)+(#REF!/1000*Tablo1[[#This Row],[Alkol]]*100))*(#REF!/100)+#REF!</f>
        <v>#REF!</v>
      </c>
      <c r="I428" s="5" t="s">
        <v>776</v>
      </c>
      <c r="J428" s="52" t="e">
        <f>#REF!*Tablo1[[#This Row],[Esans]]</f>
        <v>#REF!</v>
      </c>
      <c r="K428" s="52" t="e">
        <f>#REF!*Tablo1[[#This Row],[Su]]</f>
        <v>#REF!</v>
      </c>
      <c r="L428" s="52" t="e">
        <f>#REF!*Tablo1[[#This Row],[Alkol]]</f>
        <v>#REF!</v>
      </c>
      <c r="M428" s="45"/>
      <c r="N428" s="52">
        <f>(Tablo1[[#This Row],[KALAN ESANS]]/Tablo1[[#This Row],[Esans]]*0.01)*(Tablo1[[#This Row],[Alkol]]*100)</f>
        <v>0</v>
      </c>
      <c r="O428" s="52">
        <f>(Tablo1[[#This Row],[KALAN ESANS]]/Tablo1[[#This Row],[Esans]]*0.01)*(Tablo1[[#This Row],[Su]]*100)</f>
        <v>0</v>
      </c>
      <c r="P428" s="52">
        <f>Tablo1[[#This Row],[KALAN ESANS]]+Tablo1[[#This Row],[ALKOL Mik]]+Tablo1[[#This Row],[SU Mik]]</f>
        <v>0</v>
      </c>
    </row>
    <row r="429" spans="1:16" ht="15" customHeight="1" x14ac:dyDescent="0.2">
      <c r="A429" s="19" t="s">
        <v>373</v>
      </c>
      <c r="B429" s="42"/>
      <c r="C429" s="2">
        <v>0.2</v>
      </c>
      <c r="D429" s="2">
        <v>0.02</v>
      </c>
      <c r="E429" s="8">
        <f t="shared" si="6"/>
        <v>0.78</v>
      </c>
      <c r="F429" s="5" t="s">
        <v>25</v>
      </c>
      <c r="G429" s="18" t="s">
        <v>769</v>
      </c>
      <c r="H429" s="58" t="e">
        <f>((Tablo1[[#This Row],[Esans Fiyat]]/#REF!*Tablo1[[#This Row],[Esans]]*100)+(#REF!/1000*Tablo1[[#This Row],[Su]]*100)+(#REF!/1000*Tablo1[[#This Row],[Alkol]]*100))*(#REF!/100)+#REF!</f>
        <v>#REF!</v>
      </c>
      <c r="I429" s="5" t="s">
        <v>776</v>
      </c>
      <c r="J429" s="52" t="e">
        <f>#REF!*Tablo1[[#This Row],[Esans]]</f>
        <v>#REF!</v>
      </c>
      <c r="K429" s="52" t="e">
        <f>#REF!*Tablo1[[#This Row],[Su]]</f>
        <v>#REF!</v>
      </c>
      <c r="L429" s="52" t="e">
        <f>#REF!*Tablo1[[#This Row],[Alkol]]</f>
        <v>#REF!</v>
      </c>
      <c r="M429" s="45"/>
      <c r="N429" s="52">
        <f>(Tablo1[[#This Row],[KALAN ESANS]]/Tablo1[[#This Row],[Esans]]*0.01)*(Tablo1[[#This Row],[Alkol]]*100)</f>
        <v>0</v>
      </c>
      <c r="O429" s="52">
        <f>(Tablo1[[#This Row],[KALAN ESANS]]/Tablo1[[#This Row],[Esans]]*0.01)*(Tablo1[[#This Row],[Su]]*100)</f>
        <v>0</v>
      </c>
      <c r="P429" s="52">
        <f>Tablo1[[#This Row],[KALAN ESANS]]+Tablo1[[#This Row],[ALKOL Mik]]+Tablo1[[#This Row],[SU Mik]]</f>
        <v>0</v>
      </c>
    </row>
    <row r="430" spans="1:16" ht="15" customHeight="1" x14ac:dyDescent="0.2">
      <c r="A430" s="19" t="s">
        <v>362</v>
      </c>
      <c r="B430" s="42"/>
      <c r="C430" s="2">
        <v>0.2</v>
      </c>
      <c r="D430" s="2">
        <v>0.02</v>
      </c>
      <c r="E430" s="8">
        <f t="shared" si="6"/>
        <v>0.78</v>
      </c>
      <c r="F430" s="5" t="s">
        <v>25</v>
      </c>
      <c r="G430" s="18" t="s">
        <v>769</v>
      </c>
      <c r="H430" s="58" t="e">
        <f>((Tablo1[[#This Row],[Esans Fiyat]]/#REF!*Tablo1[[#This Row],[Esans]]*100)+(#REF!/1000*Tablo1[[#This Row],[Su]]*100)+(#REF!/1000*Tablo1[[#This Row],[Alkol]]*100))*(#REF!/100)+#REF!</f>
        <v>#REF!</v>
      </c>
      <c r="I430" s="5" t="s">
        <v>776</v>
      </c>
      <c r="J430" s="52" t="e">
        <f>#REF!*Tablo1[[#This Row],[Esans]]</f>
        <v>#REF!</v>
      </c>
      <c r="K430" s="52" t="e">
        <f>#REF!*Tablo1[[#This Row],[Su]]</f>
        <v>#REF!</v>
      </c>
      <c r="L430" s="52" t="e">
        <f>#REF!*Tablo1[[#This Row],[Alkol]]</f>
        <v>#REF!</v>
      </c>
      <c r="M430" s="45"/>
      <c r="N430" s="52">
        <f>(Tablo1[[#This Row],[KALAN ESANS]]/Tablo1[[#This Row],[Esans]]*0.01)*(Tablo1[[#This Row],[Alkol]]*100)</f>
        <v>0</v>
      </c>
      <c r="O430" s="52">
        <f>(Tablo1[[#This Row],[KALAN ESANS]]/Tablo1[[#This Row],[Esans]]*0.01)*(Tablo1[[#This Row],[Su]]*100)</f>
        <v>0</v>
      </c>
      <c r="P430" s="52">
        <f>Tablo1[[#This Row],[KALAN ESANS]]+Tablo1[[#This Row],[ALKOL Mik]]+Tablo1[[#This Row],[SU Mik]]</f>
        <v>0</v>
      </c>
    </row>
    <row r="431" spans="1:16" ht="15" customHeight="1" x14ac:dyDescent="0.2">
      <c r="A431" s="19" t="s">
        <v>361</v>
      </c>
      <c r="B431" s="42"/>
      <c r="C431" s="2">
        <v>0.2</v>
      </c>
      <c r="D431" s="2">
        <v>0.02</v>
      </c>
      <c r="E431" s="8">
        <f t="shared" si="6"/>
        <v>0.78</v>
      </c>
      <c r="F431" s="5" t="s">
        <v>25</v>
      </c>
      <c r="G431" s="18" t="s">
        <v>769</v>
      </c>
      <c r="H431" s="58" t="e">
        <f>((Tablo1[[#This Row],[Esans Fiyat]]/#REF!*Tablo1[[#This Row],[Esans]]*100)+(#REF!/1000*Tablo1[[#This Row],[Su]]*100)+(#REF!/1000*Tablo1[[#This Row],[Alkol]]*100))*(#REF!/100)+#REF!</f>
        <v>#REF!</v>
      </c>
      <c r="I431" s="5" t="s">
        <v>772</v>
      </c>
      <c r="J431" s="52" t="e">
        <f>#REF!*Tablo1[[#This Row],[Esans]]</f>
        <v>#REF!</v>
      </c>
      <c r="K431" s="52" t="e">
        <f>#REF!*Tablo1[[#This Row],[Su]]</f>
        <v>#REF!</v>
      </c>
      <c r="L431" s="52" t="e">
        <f>#REF!*Tablo1[[#This Row],[Alkol]]</f>
        <v>#REF!</v>
      </c>
      <c r="M431" s="45"/>
      <c r="N431" s="52">
        <f>(Tablo1[[#This Row],[KALAN ESANS]]/Tablo1[[#This Row],[Esans]]*0.01)*(Tablo1[[#This Row],[Alkol]]*100)</f>
        <v>0</v>
      </c>
      <c r="O431" s="52">
        <f>(Tablo1[[#This Row],[KALAN ESANS]]/Tablo1[[#This Row],[Esans]]*0.01)*(Tablo1[[#This Row],[Su]]*100)</f>
        <v>0</v>
      </c>
      <c r="P431" s="52">
        <f>Tablo1[[#This Row],[KALAN ESANS]]+Tablo1[[#This Row],[ALKOL Mik]]+Tablo1[[#This Row],[SU Mik]]</f>
        <v>0</v>
      </c>
    </row>
    <row r="432" spans="1:16" ht="15" customHeight="1" x14ac:dyDescent="0.2">
      <c r="A432" s="19" t="s">
        <v>360</v>
      </c>
      <c r="B432" s="42"/>
      <c r="C432" s="2">
        <v>0.2</v>
      </c>
      <c r="D432" s="2">
        <v>0.02</v>
      </c>
      <c r="E432" s="8">
        <f t="shared" si="6"/>
        <v>0.78</v>
      </c>
      <c r="F432" s="5" t="s">
        <v>25</v>
      </c>
      <c r="G432" s="18" t="s">
        <v>769</v>
      </c>
      <c r="H432" s="58" t="e">
        <f>((Tablo1[[#This Row],[Esans Fiyat]]/#REF!*Tablo1[[#This Row],[Esans]]*100)+(#REF!/1000*Tablo1[[#This Row],[Su]]*100)+(#REF!/1000*Tablo1[[#This Row],[Alkol]]*100))*(#REF!/100)+#REF!</f>
        <v>#REF!</v>
      </c>
      <c r="I432" s="5" t="s">
        <v>776</v>
      </c>
      <c r="J432" s="52" t="e">
        <f>#REF!*Tablo1[[#This Row],[Esans]]</f>
        <v>#REF!</v>
      </c>
      <c r="K432" s="52" t="e">
        <f>#REF!*Tablo1[[#This Row],[Su]]</f>
        <v>#REF!</v>
      </c>
      <c r="L432" s="52" t="e">
        <f>#REF!*Tablo1[[#This Row],[Alkol]]</f>
        <v>#REF!</v>
      </c>
      <c r="M432" s="45"/>
      <c r="N432" s="52">
        <f>(Tablo1[[#This Row],[KALAN ESANS]]/Tablo1[[#This Row],[Esans]]*0.01)*(Tablo1[[#This Row],[Alkol]]*100)</f>
        <v>0</v>
      </c>
      <c r="O432" s="52">
        <f>(Tablo1[[#This Row],[KALAN ESANS]]/Tablo1[[#This Row],[Esans]]*0.01)*(Tablo1[[#This Row],[Su]]*100)</f>
        <v>0</v>
      </c>
      <c r="P432" s="52">
        <f>Tablo1[[#This Row],[KALAN ESANS]]+Tablo1[[#This Row],[ALKOL Mik]]+Tablo1[[#This Row],[SU Mik]]</f>
        <v>0</v>
      </c>
    </row>
    <row r="433" spans="1:16" ht="15" customHeight="1" x14ac:dyDescent="0.2">
      <c r="A433" s="19" t="s">
        <v>359</v>
      </c>
      <c r="B433" s="42"/>
      <c r="C433" s="2">
        <v>0.2</v>
      </c>
      <c r="D433" s="2">
        <v>0.02</v>
      </c>
      <c r="E433" s="8">
        <f t="shared" si="6"/>
        <v>0.78</v>
      </c>
      <c r="F433" s="5" t="s">
        <v>25</v>
      </c>
      <c r="G433" s="18" t="s">
        <v>769</v>
      </c>
      <c r="H433" s="58" t="e">
        <f>((Tablo1[[#This Row],[Esans Fiyat]]/#REF!*Tablo1[[#This Row],[Esans]]*100)+(#REF!/1000*Tablo1[[#This Row],[Su]]*100)+(#REF!/1000*Tablo1[[#This Row],[Alkol]]*100))*(#REF!/100)+#REF!</f>
        <v>#REF!</v>
      </c>
      <c r="I433" s="5" t="s">
        <v>772</v>
      </c>
      <c r="J433" s="52" t="e">
        <f>#REF!*Tablo1[[#This Row],[Esans]]</f>
        <v>#REF!</v>
      </c>
      <c r="K433" s="52" t="e">
        <f>#REF!*Tablo1[[#This Row],[Su]]</f>
        <v>#REF!</v>
      </c>
      <c r="L433" s="52" t="e">
        <f>#REF!*Tablo1[[#This Row],[Alkol]]</f>
        <v>#REF!</v>
      </c>
      <c r="M433" s="45"/>
      <c r="N433" s="52">
        <f>(Tablo1[[#This Row],[KALAN ESANS]]/Tablo1[[#This Row],[Esans]]*0.01)*(Tablo1[[#This Row],[Alkol]]*100)</f>
        <v>0</v>
      </c>
      <c r="O433" s="52">
        <f>(Tablo1[[#This Row],[KALAN ESANS]]/Tablo1[[#This Row],[Esans]]*0.01)*(Tablo1[[#This Row],[Su]]*100)</f>
        <v>0</v>
      </c>
      <c r="P433" s="52">
        <f>Tablo1[[#This Row],[KALAN ESANS]]+Tablo1[[#This Row],[ALKOL Mik]]+Tablo1[[#This Row],[SU Mik]]</f>
        <v>0</v>
      </c>
    </row>
    <row r="434" spans="1:16" ht="15" customHeight="1" x14ac:dyDescent="0.2">
      <c r="A434" s="19" t="s">
        <v>358</v>
      </c>
      <c r="B434" s="42"/>
      <c r="C434" s="2">
        <v>0.25</v>
      </c>
      <c r="D434" s="2">
        <v>0.02</v>
      </c>
      <c r="E434" s="8">
        <f t="shared" si="6"/>
        <v>0.73</v>
      </c>
      <c r="F434" s="5" t="s">
        <v>779</v>
      </c>
      <c r="G434" s="18" t="s">
        <v>769</v>
      </c>
      <c r="H434" s="58" t="e">
        <f>((Tablo1[[#This Row],[Esans Fiyat]]/#REF!*Tablo1[[#This Row],[Esans]]*100)+(#REF!/1000*Tablo1[[#This Row],[Su]]*100)+(#REF!/1000*Tablo1[[#This Row],[Alkol]]*100))*(#REF!/100)+#REF!</f>
        <v>#REF!</v>
      </c>
      <c r="I434" s="5" t="s">
        <v>776</v>
      </c>
      <c r="J434" s="52" t="e">
        <f>#REF!*Tablo1[[#This Row],[Esans]]</f>
        <v>#REF!</v>
      </c>
      <c r="K434" s="52" t="e">
        <f>#REF!*Tablo1[[#This Row],[Su]]</f>
        <v>#REF!</v>
      </c>
      <c r="L434" s="52" t="e">
        <f>#REF!*Tablo1[[#This Row],[Alkol]]</f>
        <v>#REF!</v>
      </c>
      <c r="M434" s="45"/>
      <c r="N434" s="52">
        <f>(Tablo1[[#This Row],[KALAN ESANS]]/Tablo1[[#This Row],[Esans]]*0.01)*(Tablo1[[#This Row],[Alkol]]*100)</f>
        <v>0</v>
      </c>
      <c r="O434" s="52">
        <f>(Tablo1[[#This Row],[KALAN ESANS]]/Tablo1[[#This Row],[Esans]]*0.01)*(Tablo1[[#This Row],[Su]]*100)</f>
        <v>0</v>
      </c>
      <c r="P434" s="52">
        <f>Tablo1[[#This Row],[KALAN ESANS]]+Tablo1[[#This Row],[ALKOL Mik]]+Tablo1[[#This Row],[SU Mik]]</f>
        <v>0</v>
      </c>
    </row>
    <row r="435" spans="1:16" ht="15" customHeight="1" x14ac:dyDescent="0.2">
      <c r="A435" s="19" t="s">
        <v>354</v>
      </c>
      <c r="B435" s="42"/>
      <c r="C435" s="2">
        <v>0.2</v>
      </c>
      <c r="D435" s="2">
        <v>0.02</v>
      </c>
      <c r="E435" s="8">
        <f t="shared" si="6"/>
        <v>0.78</v>
      </c>
      <c r="F435" s="5" t="s">
        <v>25</v>
      </c>
      <c r="G435" s="18" t="s">
        <v>769</v>
      </c>
      <c r="H435" s="58" t="e">
        <f>((Tablo1[[#This Row],[Esans Fiyat]]/#REF!*Tablo1[[#This Row],[Esans]]*100)+(#REF!/1000*Tablo1[[#This Row],[Su]]*100)+(#REF!/1000*Tablo1[[#This Row],[Alkol]]*100))*(#REF!/100)+#REF!</f>
        <v>#REF!</v>
      </c>
      <c r="I435" s="5" t="s">
        <v>776</v>
      </c>
      <c r="J435" s="52" t="e">
        <f>#REF!*Tablo1[[#This Row],[Esans]]</f>
        <v>#REF!</v>
      </c>
      <c r="K435" s="52" t="e">
        <f>#REF!*Tablo1[[#This Row],[Su]]</f>
        <v>#REF!</v>
      </c>
      <c r="L435" s="52" t="e">
        <f>#REF!*Tablo1[[#This Row],[Alkol]]</f>
        <v>#REF!</v>
      </c>
      <c r="M435" s="45"/>
      <c r="N435" s="52">
        <f>(Tablo1[[#This Row],[KALAN ESANS]]/Tablo1[[#This Row],[Esans]]*0.01)*(Tablo1[[#This Row],[Alkol]]*100)</f>
        <v>0</v>
      </c>
      <c r="O435" s="52">
        <f>(Tablo1[[#This Row],[KALAN ESANS]]/Tablo1[[#This Row],[Esans]]*0.01)*(Tablo1[[#This Row],[Su]]*100)</f>
        <v>0</v>
      </c>
      <c r="P435" s="52">
        <f>Tablo1[[#This Row],[KALAN ESANS]]+Tablo1[[#This Row],[ALKOL Mik]]+Tablo1[[#This Row],[SU Mik]]</f>
        <v>0</v>
      </c>
    </row>
    <row r="436" spans="1:16" ht="15" customHeight="1" x14ac:dyDescent="0.2">
      <c r="A436" s="19" t="s">
        <v>357</v>
      </c>
      <c r="B436" s="42"/>
      <c r="C436" s="2">
        <v>0.2</v>
      </c>
      <c r="D436" s="2">
        <v>0.02</v>
      </c>
      <c r="E436" s="8">
        <f t="shared" si="6"/>
        <v>0.78</v>
      </c>
      <c r="F436" s="5" t="s">
        <v>25</v>
      </c>
      <c r="G436" s="18" t="s">
        <v>769</v>
      </c>
      <c r="H436" s="58" t="e">
        <f>((Tablo1[[#This Row],[Esans Fiyat]]/#REF!*Tablo1[[#This Row],[Esans]]*100)+(#REF!/1000*Tablo1[[#This Row],[Su]]*100)+(#REF!/1000*Tablo1[[#This Row],[Alkol]]*100))*(#REF!/100)+#REF!</f>
        <v>#REF!</v>
      </c>
      <c r="I436" s="5" t="s">
        <v>772</v>
      </c>
      <c r="J436" s="52" t="e">
        <f>#REF!*Tablo1[[#This Row],[Esans]]</f>
        <v>#REF!</v>
      </c>
      <c r="K436" s="52" t="e">
        <f>#REF!*Tablo1[[#This Row],[Su]]</f>
        <v>#REF!</v>
      </c>
      <c r="L436" s="52" t="e">
        <f>#REF!*Tablo1[[#This Row],[Alkol]]</f>
        <v>#REF!</v>
      </c>
      <c r="M436" s="45"/>
      <c r="N436" s="52">
        <f>(Tablo1[[#This Row],[KALAN ESANS]]/Tablo1[[#This Row],[Esans]]*0.01)*(Tablo1[[#This Row],[Alkol]]*100)</f>
        <v>0</v>
      </c>
      <c r="O436" s="52">
        <f>(Tablo1[[#This Row],[KALAN ESANS]]/Tablo1[[#This Row],[Esans]]*0.01)*(Tablo1[[#This Row],[Su]]*100)</f>
        <v>0</v>
      </c>
      <c r="P436" s="52">
        <f>Tablo1[[#This Row],[KALAN ESANS]]+Tablo1[[#This Row],[ALKOL Mik]]+Tablo1[[#This Row],[SU Mik]]</f>
        <v>0</v>
      </c>
    </row>
    <row r="437" spans="1:16" ht="15" customHeight="1" x14ac:dyDescent="0.2">
      <c r="A437" s="19" t="s">
        <v>355</v>
      </c>
      <c r="B437" s="42"/>
      <c r="C437" s="2">
        <v>0.2</v>
      </c>
      <c r="D437" s="2">
        <v>0.02</v>
      </c>
      <c r="E437" s="8">
        <f t="shared" si="6"/>
        <v>0.78</v>
      </c>
      <c r="F437" s="5" t="s">
        <v>25</v>
      </c>
      <c r="G437" s="18" t="s">
        <v>769</v>
      </c>
      <c r="H437" s="58" t="e">
        <f>((Tablo1[[#This Row],[Esans Fiyat]]/#REF!*Tablo1[[#This Row],[Esans]]*100)+(#REF!/1000*Tablo1[[#This Row],[Su]]*100)+(#REF!/1000*Tablo1[[#This Row],[Alkol]]*100))*(#REF!/100)+#REF!</f>
        <v>#REF!</v>
      </c>
      <c r="I437" s="5" t="s">
        <v>776</v>
      </c>
      <c r="J437" s="52" t="e">
        <f>#REF!*Tablo1[[#This Row],[Esans]]</f>
        <v>#REF!</v>
      </c>
      <c r="K437" s="52" t="e">
        <f>#REF!*Tablo1[[#This Row],[Su]]</f>
        <v>#REF!</v>
      </c>
      <c r="L437" s="52" t="e">
        <f>#REF!*Tablo1[[#This Row],[Alkol]]</f>
        <v>#REF!</v>
      </c>
      <c r="M437" s="45"/>
      <c r="N437" s="52">
        <f>(Tablo1[[#This Row],[KALAN ESANS]]/Tablo1[[#This Row],[Esans]]*0.01)*(Tablo1[[#This Row],[Alkol]]*100)</f>
        <v>0</v>
      </c>
      <c r="O437" s="52">
        <f>(Tablo1[[#This Row],[KALAN ESANS]]/Tablo1[[#This Row],[Esans]]*0.01)*(Tablo1[[#This Row],[Su]]*100)</f>
        <v>0</v>
      </c>
      <c r="P437" s="52">
        <f>Tablo1[[#This Row],[KALAN ESANS]]+Tablo1[[#This Row],[ALKOL Mik]]+Tablo1[[#This Row],[SU Mik]]</f>
        <v>0</v>
      </c>
    </row>
    <row r="438" spans="1:16" ht="15" customHeight="1" x14ac:dyDescent="0.2">
      <c r="A438" s="19" t="s">
        <v>356</v>
      </c>
      <c r="B438" s="42"/>
      <c r="C438" s="2">
        <v>0.2</v>
      </c>
      <c r="D438" s="2">
        <v>0.02</v>
      </c>
      <c r="E438" s="8">
        <f t="shared" si="6"/>
        <v>0.78</v>
      </c>
      <c r="F438" s="5" t="s">
        <v>25</v>
      </c>
      <c r="G438" s="18" t="s">
        <v>769</v>
      </c>
      <c r="H438" s="58" t="e">
        <f>((Tablo1[[#This Row],[Esans Fiyat]]/#REF!*Tablo1[[#This Row],[Esans]]*100)+(#REF!/1000*Tablo1[[#This Row],[Su]]*100)+(#REF!/1000*Tablo1[[#This Row],[Alkol]]*100))*(#REF!/100)+#REF!</f>
        <v>#REF!</v>
      </c>
      <c r="I438" s="5" t="s">
        <v>776</v>
      </c>
      <c r="J438" s="52" t="e">
        <f>#REF!*Tablo1[[#This Row],[Esans]]</f>
        <v>#REF!</v>
      </c>
      <c r="K438" s="52" t="e">
        <f>#REF!*Tablo1[[#This Row],[Su]]</f>
        <v>#REF!</v>
      </c>
      <c r="L438" s="52" t="e">
        <f>#REF!*Tablo1[[#This Row],[Alkol]]</f>
        <v>#REF!</v>
      </c>
      <c r="M438" s="45"/>
      <c r="N438" s="52">
        <f>(Tablo1[[#This Row],[KALAN ESANS]]/Tablo1[[#This Row],[Esans]]*0.01)*(Tablo1[[#This Row],[Alkol]]*100)</f>
        <v>0</v>
      </c>
      <c r="O438" s="52">
        <f>(Tablo1[[#This Row],[KALAN ESANS]]/Tablo1[[#This Row],[Esans]]*0.01)*(Tablo1[[#This Row],[Su]]*100)</f>
        <v>0</v>
      </c>
      <c r="P438" s="52">
        <f>Tablo1[[#This Row],[KALAN ESANS]]+Tablo1[[#This Row],[ALKOL Mik]]+Tablo1[[#This Row],[SU Mik]]</f>
        <v>0</v>
      </c>
    </row>
    <row r="439" spans="1:16" ht="15" customHeight="1" x14ac:dyDescent="0.2">
      <c r="A439" s="19" t="s">
        <v>353</v>
      </c>
      <c r="B439" s="42"/>
      <c r="C439" s="2">
        <v>0.18</v>
      </c>
      <c r="D439" s="2">
        <v>0.02</v>
      </c>
      <c r="E439" s="8">
        <f t="shared" si="6"/>
        <v>0.8</v>
      </c>
      <c r="F439" s="5" t="s">
        <v>25</v>
      </c>
      <c r="G439" s="18" t="s">
        <v>769</v>
      </c>
      <c r="H439" s="58" t="e">
        <f>((Tablo1[[#This Row],[Esans Fiyat]]/#REF!*Tablo1[[#This Row],[Esans]]*100)+(#REF!/1000*Tablo1[[#This Row],[Su]]*100)+(#REF!/1000*Tablo1[[#This Row],[Alkol]]*100))*(#REF!/100)+#REF!</f>
        <v>#REF!</v>
      </c>
      <c r="I439" s="5" t="s">
        <v>782</v>
      </c>
      <c r="J439" s="52" t="e">
        <f>#REF!*Tablo1[[#This Row],[Esans]]</f>
        <v>#REF!</v>
      </c>
      <c r="K439" s="52" t="e">
        <f>#REF!*Tablo1[[#This Row],[Su]]</f>
        <v>#REF!</v>
      </c>
      <c r="L439" s="52" t="e">
        <f>#REF!*Tablo1[[#This Row],[Alkol]]</f>
        <v>#REF!</v>
      </c>
      <c r="M439" s="45"/>
      <c r="N439" s="52">
        <f>(Tablo1[[#This Row],[KALAN ESANS]]/Tablo1[[#This Row],[Esans]]*0.01)*(Tablo1[[#This Row],[Alkol]]*100)</f>
        <v>0</v>
      </c>
      <c r="O439" s="52">
        <f>(Tablo1[[#This Row],[KALAN ESANS]]/Tablo1[[#This Row],[Esans]]*0.01)*(Tablo1[[#This Row],[Su]]*100)</f>
        <v>0</v>
      </c>
      <c r="P439" s="52">
        <f>Tablo1[[#This Row],[KALAN ESANS]]+Tablo1[[#This Row],[ALKOL Mik]]+Tablo1[[#This Row],[SU Mik]]</f>
        <v>0</v>
      </c>
    </row>
    <row r="440" spans="1:16" ht="15" customHeight="1" x14ac:dyDescent="0.2">
      <c r="A440" s="19" t="s">
        <v>350</v>
      </c>
      <c r="B440" s="42"/>
      <c r="C440" s="2">
        <v>0.2</v>
      </c>
      <c r="D440" s="2">
        <v>0</v>
      </c>
      <c r="E440" s="8">
        <f t="shared" si="6"/>
        <v>0.8</v>
      </c>
      <c r="F440" s="5" t="s">
        <v>25</v>
      </c>
      <c r="G440" s="18" t="s">
        <v>769</v>
      </c>
      <c r="H440" s="58" t="e">
        <f>((Tablo1[[#This Row],[Esans Fiyat]]/#REF!*Tablo1[[#This Row],[Esans]]*100)+(#REF!/1000*Tablo1[[#This Row],[Su]]*100)+(#REF!/1000*Tablo1[[#This Row],[Alkol]]*100))*(#REF!/100)+#REF!</f>
        <v>#REF!</v>
      </c>
      <c r="I440" s="5" t="s">
        <v>776</v>
      </c>
      <c r="J440" s="52" t="e">
        <f>#REF!*Tablo1[[#This Row],[Esans]]</f>
        <v>#REF!</v>
      </c>
      <c r="K440" s="52" t="e">
        <f>#REF!*Tablo1[[#This Row],[Su]]</f>
        <v>#REF!</v>
      </c>
      <c r="L440" s="52" t="e">
        <f>#REF!*Tablo1[[#This Row],[Alkol]]</f>
        <v>#REF!</v>
      </c>
      <c r="M440" s="45"/>
      <c r="N440" s="52">
        <f>(Tablo1[[#This Row],[KALAN ESANS]]/Tablo1[[#This Row],[Esans]]*0.01)*(Tablo1[[#This Row],[Alkol]]*100)</f>
        <v>0</v>
      </c>
      <c r="O440" s="52">
        <f>(Tablo1[[#This Row],[KALAN ESANS]]/Tablo1[[#This Row],[Esans]]*0.01)*(Tablo1[[#This Row],[Su]]*100)</f>
        <v>0</v>
      </c>
      <c r="P440" s="52">
        <f>Tablo1[[#This Row],[KALAN ESANS]]+Tablo1[[#This Row],[ALKOL Mik]]+Tablo1[[#This Row],[SU Mik]]</f>
        <v>0</v>
      </c>
    </row>
    <row r="441" spans="1:16" ht="15" customHeight="1" x14ac:dyDescent="0.2">
      <c r="A441" s="19" t="s">
        <v>352</v>
      </c>
      <c r="B441" s="42"/>
      <c r="C441" s="2">
        <v>0.2</v>
      </c>
      <c r="D441" s="2">
        <v>0.02</v>
      </c>
      <c r="E441" s="8">
        <f t="shared" si="6"/>
        <v>0.78</v>
      </c>
      <c r="F441" s="5" t="s">
        <v>25</v>
      </c>
      <c r="G441" s="18" t="s">
        <v>769</v>
      </c>
      <c r="H441" s="58" t="e">
        <f>((Tablo1[[#This Row],[Esans Fiyat]]/#REF!*Tablo1[[#This Row],[Esans]]*100)+(#REF!/1000*Tablo1[[#This Row],[Su]]*100)+(#REF!/1000*Tablo1[[#This Row],[Alkol]]*100))*(#REF!/100)+#REF!</f>
        <v>#REF!</v>
      </c>
      <c r="I441" s="5" t="s">
        <v>776</v>
      </c>
      <c r="J441" s="52" t="e">
        <f>#REF!*Tablo1[[#This Row],[Esans]]</f>
        <v>#REF!</v>
      </c>
      <c r="K441" s="52" t="e">
        <f>#REF!*Tablo1[[#This Row],[Su]]</f>
        <v>#REF!</v>
      </c>
      <c r="L441" s="52" t="e">
        <f>#REF!*Tablo1[[#This Row],[Alkol]]</f>
        <v>#REF!</v>
      </c>
      <c r="M441" s="45"/>
      <c r="N441" s="52">
        <f>(Tablo1[[#This Row],[KALAN ESANS]]/Tablo1[[#This Row],[Esans]]*0.01)*(Tablo1[[#This Row],[Alkol]]*100)</f>
        <v>0</v>
      </c>
      <c r="O441" s="52">
        <f>(Tablo1[[#This Row],[KALAN ESANS]]/Tablo1[[#This Row],[Esans]]*0.01)*(Tablo1[[#This Row],[Su]]*100)</f>
        <v>0</v>
      </c>
      <c r="P441" s="52">
        <f>Tablo1[[#This Row],[KALAN ESANS]]+Tablo1[[#This Row],[ALKOL Mik]]+Tablo1[[#This Row],[SU Mik]]</f>
        <v>0</v>
      </c>
    </row>
    <row r="442" spans="1:16" ht="15" customHeight="1" x14ac:dyDescent="0.2">
      <c r="A442" s="19" t="s">
        <v>351</v>
      </c>
      <c r="B442" s="42"/>
      <c r="C442" s="2">
        <v>0.2</v>
      </c>
      <c r="D442" s="2">
        <v>0.02</v>
      </c>
      <c r="E442" s="8">
        <f t="shared" si="6"/>
        <v>0.78</v>
      </c>
      <c r="F442" s="5" t="s">
        <v>25</v>
      </c>
      <c r="G442" s="18" t="s">
        <v>769</v>
      </c>
      <c r="H442" s="58" t="e">
        <f>((Tablo1[[#This Row],[Esans Fiyat]]/#REF!*Tablo1[[#This Row],[Esans]]*100)+(#REF!/1000*Tablo1[[#This Row],[Su]]*100)+(#REF!/1000*Tablo1[[#This Row],[Alkol]]*100))*(#REF!/100)+#REF!</f>
        <v>#REF!</v>
      </c>
      <c r="I442" s="5" t="s">
        <v>776</v>
      </c>
      <c r="J442" s="52" t="e">
        <f>#REF!*Tablo1[[#This Row],[Esans]]</f>
        <v>#REF!</v>
      </c>
      <c r="K442" s="52" t="e">
        <f>#REF!*Tablo1[[#This Row],[Su]]</f>
        <v>#REF!</v>
      </c>
      <c r="L442" s="52" t="e">
        <f>#REF!*Tablo1[[#This Row],[Alkol]]</f>
        <v>#REF!</v>
      </c>
      <c r="M442" s="45"/>
      <c r="N442" s="52">
        <f>(Tablo1[[#This Row],[KALAN ESANS]]/Tablo1[[#This Row],[Esans]]*0.01)*(Tablo1[[#This Row],[Alkol]]*100)</f>
        <v>0</v>
      </c>
      <c r="O442" s="52">
        <f>(Tablo1[[#This Row],[KALAN ESANS]]/Tablo1[[#This Row],[Esans]]*0.01)*(Tablo1[[#This Row],[Su]]*100)</f>
        <v>0</v>
      </c>
      <c r="P442" s="52">
        <f>Tablo1[[#This Row],[KALAN ESANS]]+Tablo1[[#This Row],[ALKOL Mik]]+Tablo1[[#This Row],[SU Mik]]</f>
        <v>0</v>
      </c>
    </row>
    <row r="443" spans="1:16" ht="15" customHeight="1" x14ac:dyDescent="0.2">
      <c r="A443" s="19" t="s">
        <v>348</v>
      </c>
      <c r="B443" s="42"/>
      <c r="C443" s="2">
        <v>0.2</v>
      </c>
      <c r="D443" s="2">
        <v>0.02</v>
      </c>
      <c r="E443" s="8">
        <f t="shared" si="6"/>
        <v>0.78</v>
      </c>
      <c r="F443" s="5" t="s">
        <v>25</v>
      </c>
      <c r="G443" s="18" t="s">
        <v>769</v>
      </c>
      <c r="H443" s="58" t="e">
        <f>((Tablo1[[#This Row],[Esans Fiyat]]/#REF!*Tablo1[[#This Row],[Esans]]*100)+(#REF!/1000*Tablo1[[#This Row],[Su]]*100)+(#REF!/1000*Tablo1[[#This Row],[Alkol]]*100))*(#REF!/100)+#REF!</f>
        <v>#REF!</v>
      </c>
      <c r="I443" s="5" t="s">
        <v>776</v>
      </c>
      <c r="J443" s="52" t="e">
        <f>#REF!*Tablo1[[#This Row],[Esans]]</f>
        <v>#REF!</v>
      </c>
      <c r="K443" s="52" t="e">
        <f>#REF!*Tablo1[[#This Row],[Su]]</f>
        <v>#REF!</v>
      </c>
      <c r="L443" s="52" t="e">
        <f>#REF!*Tablo1[[#This Row],[Alkol]]</f>
        <v>#REF!</v>
      </c>
      <c r="M443" s="45"/>
      <c r="N443" s="52">
        <f>(Tablo1[[#This Row],[KALAN ESANS]]/Tablo1[[#This Row],[Esans]]*0.01)*(Tablo1[[#This Row],[Alkol]]*100)</f>
        <v>0</v>
      </c>
      <c r="O443" s="52">
        <f>(Tablo1[[#This Row],[KALAN ESANS]]/Tablo1[[#This Row],[Esans]]*0.01)*(Tablo1[[#This Row],[Su]]*100)</f>
        <v>0</v>
      </c>
      <c r="P443" s="52">
        <f>Tablo1[[#This Row],[KALAN ESANS]]+Tablo1[[#This Row],[ALKOL Mik]]+Tablo1[[#This Row],[SU Mik]]</f>
        <v>0</v>
      </c>
    </row>
    <row r="444" spans="1:16" ht="15" customHeight="1" x14ac:dyDescent="0.2">
      <c r="A444" s="19" t="s">
        <v>349</v>
      </c>
      <c r="B444" s="42"/>
      <c r="C444" s="2">
        <v>0.2</v>
      </c>
      <c r="D444" s="2">
        <v>0.02</v>
      </c>
      <c r="E444" s="8">
        <f t="shared" si="6"/>
        <v>0.78</v>
      </c>
      <c r="F444" s="5" t="s">
        <v>25</v>
      </c>
      <c r="G444" s="18" t="s">
        <v>769</v>
      </c>
      <c r="H444" s="58" t="e">
        <f>((Tablo1[[#This Row],[Esans Fiyat]]/#REF!*Tablo1[[#This Row],[Esans]]*100)+(#REF!/1000*Tablo1[[#This Row],[Su]]*100)+(#REF!/1000*Tablo1[[#This Row],[Alkol]]*100))*(#REF!/100)+#REF!</f>
        <v>#REF!</v>
      </c>
      <c r="I444" s="5" t="s">
        <v>776</v>
      </c>
      <c r="J444" s="52" t="e">
        <f>#REF!*Tablo1[[#This Row],[Esans]]</f>
        <v>#REF!</v>
      </c>
      <c r="K444" s="52" t="e">
        <f>#REF!*Tablo1[[#This Row],[Su]]</f>
        <v>#REF!</v>
      </c>
      <c r="L444" s="52" t="e">
        <f>#REF!*Tablo1[[#This Row],[Alkol]]</f>
        <v>#REF!</v>
      </c>
      <c r="M444" s="45"/>
      <c r="N444" s="52">
        <f>(Tablo1[[#This Row],[KALAN ESANS]]/Tablo1[[#This Row],[Esans]]*0.01)*(Tablo1[[#This Row],[Alkol]]*100)</f>
        <v>0</v>
      </c>
      <c r="O444" s="52">
        <f>(Tablo1[[#This Row],[KALAN ESANS]]/Tablo1[[#This Row],[Esans]]*0.01)*(Tablo1[[#This Row],[Su]]*100)</f>
        <v>0</v>
      </c>
      <c r="P444" s="52">
        <f>Tablo1[[#This Row],[KALAN ESANS]]+Tablo1[[#This Row],[ALKOL Mik]]+Tablo1[[#This Row],[SU Mik]]</f>
        <v>0</v>
      </c>
    </row>
    <row r="445" spans="1:16" ht="15" customHeight="1" x14ac:dyDescent="0.2">
      <c r="A445" s="19" t="s">
        <v>344</v>
      </c>
      <c r="B445" s="42"/>
      <c r="C445" s="2">
        <v>0.2</v>
      </c>
      <c r="D445" s="2">
        <v>0.02</v>
      </c>
      <c r="E445" s="8">
        <f t="shared" si="6"/>
        <v>0.78</v>
      </c>
      <c r="F445" s="5" t="s">
        <v>25</v>
      </c>
      <c r="G445" s="18" t="s">
        <v>769</v>
      </c>
      <c r="H445" s="58" t="e">
        <f>((Tablo1[[#This Row],[Esans Fiyat]]/#REF!*Tablo1[[#This Row],[Esans]]*100)+(#REF!/1000*Tablo1[[#This Row],[Su]]*100)+(#REF!/1000*Tablo1[[#This Row],[Alkol]]*100))*(#REF!/100)+#REF!</f>
        <v>#REF!</v>
      </c>
      <c r="I445" s="5" t="s">
        <v>774</v>
      </c>
      <c r="J445" s="52" t="e">
        <f>#REF!*Tablo1[[#This Row],[Esans]]</f>
        <v>#REF!</v>
      </c>
      <c r="K445" s="52" t="e">
        <f>#REF!*Tablo1[[#This Row],[Su]]</f>
        <v>#REF!</v>
      </c>
      <c r="L445" s="52" t="e">
        <f>#REF!*Tablo1[[#This Row],[Alkol]]</f>
        <v>#REF!</v>
      </c>
      <c r="M445" s="45"/>
      <c r="N445" s="52">
        <f>(Tablo1[[#This Row],[KALAN ESANS]]/Tablo1[[#This Row],[Esans]]*0.01)*(Tablo1[[#This Row],[Alkol]]*100)</f>
        <v>0</v>
      </c>
      <c r="O445" s="52">
        <f>(Tablo1[[#This Row],[KALAN ESANS]]/Tablo1[[#This Row],[Esans]]*0.01)*(Tablo1[[#This Row],[Su]]*100)</f>
        <v>0</v>
      </c>
      <c r="P445" s="52">
        <f>Tablo1[[#This Row],[KALAN ESANS]]+Tablo1[[#This Row],[ALKOL Mik]]+Tablo1[[#This Row],[SU Mik]]</f>
        <v>0</v>
      </c>
    </row>
    <row r="446" spans="1:16" ht="15" customHeight="1" x14ac:dyDescent="0.2">
      <c r="A446" s="19" t="s">
        <v>343</v>
      </c>
      <c r="B446" s="42"/>
      <c r="C446" s="2">
        <v>0.2</v>
      </c>
      <c r="D446" s="2">
        <v>0.02</v>
      </c>
      <c r="E446" s="8">
        <f t="shared" si="6"/>
        <v>0.78</v>
      </c>
      <c r="F446" s="5" t="s">
        <v>25</v>
      </c>
      <c r="G446" s="18" t="s">
        <v>769</v>
      </c>
      <c r="H446" s="58" t="e">
        <f>((Tablo1[[#This Row],[Esans Fiyat]]/#REF!*Tablo1[[#This Row],[Esans]]*100)+(#REF!/1000*Tablo1[[#This Row],[Su]]*100)+(#REF!/1000*Tablo1[[#This Row],[Alkol]]*100))*(#REF!/100)+#REF!</f>
        <v>#REF!</v>
      </c>
      <c r="I446" s="5" t="s">
        <v>776</v>
      </c>
      <c r="J446" s="52" t="e">
        <f>#REF!*Tablo1[[#This Row],[Esans]]</f>
        <v>#REF!</v>
      </c>
      <c r="K446" s="52" t="e">
        <f>#REF!*Tablo1[[#This Row],[Su]]</f>
        <v>#REF!</v>
      </c>
      <c r="L446" s="52" t="e">
        <f>#REF!*Tablo1[[#This Row],[Alkol]]</f>
        <v>#REF!</v>
      </c>
      <c r="M446" s="45"/>
      <c r="N446" s="52">
        <f>(Tablo1[[#This Row],[KALAN ESANS]]/Tablo1[[#This Row],[Esans]]*0.01)*(Tablo1[[#This Row],[Alkol]]*100)</f>
        <v>0</v>
      </c>
      <c r="O446" s="52">
        <f>(Tablo1[[#This Row],[KALAN ESANS]]/Tablo1[[#This Row],[Esans]]*0.01)*(Tablo1[[#This Row],[Su]]*100)</f>
        <v>0</v>
      </c>
      <c r="P446" s="52">
        <f>Tablo1[[#This Row],[KALAN ESANS]]+Tablo1[[#This Row],[ALKOL Mik]]+Tablo1[[#This Row],[SU Mik]]</f>
        <v>0</v>
      </c>
    </row>
    <row r="447" spans="1:16" ht="15" customHeight="1" x14ac:dyDescent="0.2">
      <c r="A447" s="19" t="s">
        <v>345</v>
      </c>
      <c r="B447" s="42"/>
      <c r="C447" s="2">
        <v>0.2</v>
      </c>
      <c r="D447" s="2">
        <v>0.02</v>
      </c>
      <c r="E447" s="8">
        <f t="shared" si="6"/>
        <v>0.78</v>
      </c>
      <c r="F447" s="5" t="s">
        <v>25</v>
      </c>
      <c r="G447" s="18" t="s">
        <v>769</v>
      </c>
      <c r="H447" s="58" t="e">
        <f>((Tablo1[[#This Row],[Esans Fiyat]]/#REF!*Tablo1[[#This Row],[Esans]]*100)+(#REF!/1000*Tablo1[[#This Row],[Su]]*100)+(#REF!/1000*Tablo1[[#This Row],[Alkol]]*100))*(#REF!/100)+#REF!</f>
        <v>#REF!</v>
      </c>
      <c r="I447" s="5" t="s">
        <v>776</v>
      </c>
      <c r="J447" s="52" t="e">
        <f>#REF!*Tablo1[[#This Row],[Esans]]</f>
        <v>#REF!</v>
      </c>
      <c r="K447" s="52" t="e">
        <f>#REF!*Tablo1[[#This Row],[Su]]</f>
        <v>#REF!</v>
      </c>
      <c r="L447" s="52" t="e">
        <f>#REF!*Tablo1[[#This Row],[Alkol]]</f>
        <v>#REF!</v>
      </c>
      <c r="M447" s="45"/>
      <c r="N447" s="52">
        <f>(Tablo1[[#This Row],[KALAN ESANS]]/Tablo1[[#This Row],[Esans]]*0.01)*(Tablo1[[#This Row],[Alkol]]*100)</f>
        <v>0</v>
      </c>
      <c r="O447" s="52">
        <f>(Tablo1[[#This Row],[KALAN ESANS]]/Tablo1[[#This Row],[Esans]]*0.01)*(Tablo1[[#This Row],[Su]]*100)</f>
        <v>0</v>
      </c>
      <c r="P447" s="52">
        <f>Tablo1[[#This Row],[KALAN ESANS]]+Tablo1[[#This Row],[ALKOL Mik]]+Tablo1[[#This Row],[SU Mik]]</f>
        <v>0</v>
      </c>
    </row>
    <row r="448" spans="1:16" ht="15" customHeight="1" x14ac:dyDescent="0.2">
      <c r="A448" s="19" t="s">
        <v>346</v>
      </c>
      <c r="B448" s="42"/>
      <c r="C448" s="2">
        <v>0.2</v>
      </c>
      <c r="D448" s="2">
        <v>0.02</v>
      </c>
      <c r="E448" s="8">
        <f t="shared" si="6"/>
        <v>0.78</v>
      </c>
      <c r="F448" s="5" t="s">
        <v>25</v>
      </c>
      <c r="G448" s="18" t="s">
        <v>769</v>
      </c>
      <c r="H448" s="58" t="e">
        <f>((Tablo1[[#This Row],[Esans Fiyat]]/#REF!*Tablo1[[#This Row],[Esans]]*100)+(#REF!/1000*Tablo1[[#This Row],[Su]]*100)+(#REF!/1000*Tablo1[[#This Row],[Alkol]]*100))*(#REF!/100)+#REF!</f>
        <v>#REF!</v>
      </c>
      <c r="I448" s="5" t="s">
        <v>776</v>
      </c>
      <c r="J448" s="52" t="e">
        <f>#REF!*Tablo1[[#This Row],[Esans]]</f>
        <v>#REF!</v>
      </c>
      <c r="K448" s="52" t="e">
        <f>#REF!*Tablo1[[#This Row],[Su]]</f>
        <v>#REF!</v>
      </c>
      <c r="L448" s="52" t="e">
        <f>#REF!*Tablo1[[#This Row],[Alkol]]</f>
        <v>#REF!</v>
      </c>
      <c r="M448" s="45"/>
      <c r="N448" s="52">
        <f>(Tablo1[[#This Row],[KALAN ESANS]]/Tablo1[[#This Row],[Esans]]*0.01)*(Tablo1[[#This Row],[Alkol]]*100)</f>
        <v>0</v>
      </c>
      <c r="O448" s="52">
        <f>(Tablo1[[#This Row],[KALAN ESANS]]/Tablo1[[#This Row],[Esans]]*0.01)*(Tablo1[[#This Row],[Su]]*100)</f>
        <v>0</v>
      </c>
      <c r="P448" s="52">
        <f>Tablo1[[#This Row],[KALAN ESANS]]+Tablo1[[#This Row],[ALKOL Mik]]+Tablo1[[#This Row],[SU Mik]]</f>
        <v>0</v>
      </c>
    </row>
    <row r="449" spans="1:16" ht="15" customHeight="1" x14ac:dyDescent="0.2">
      <c r="A449" s="19" t="s">
        <v>347</v>
      </c>
      <c r="B449" s="42"/>
      <c r="C449" s="2">
        <v>0.2</v>
      </c>
      <c r="D449" s="2">
        <v>0.02</v>
      </c>
      <c r="E449" s="8">
        <f t="shared" si="6"/>
        <v>0.78</v>
      </c>
      <c r="F449" s="5" t="s">
        <v>25</v>
      </c>
      <c r="G449" s="18" t="s">
        <v>769</v>
      </c>
      <c r="H449" s="58" t="e">
        <f>((Tablo1[[#This Row],[Esans Fiyat]]/#REF!*Tablo1[[#This Row],[Esans]]*100)+(#REF!/1000*Tablo1[[#This Row],[Su]]*100)+(#REF!/1000*Tablo1[[#This Row],[Alkol]]*100))*(#REF!/100)+#REF!</f>
        <v>#REF!</v>
      </c>
      <c r="I449" s="5" t="s">
        <v>776</v>
      </c>
      <c r="J449" s="52" t="e">
        <f>#REF!*Tablo1[[#This Row],[Esans]]</f>
        <v>#REF!</v>
      </c>
      <c r="K449" s="52" t="e">
        <f>#REF!*Tablo1[[#This Row],[Su]]</f>
        <v>#REF!</v>
      </c>
      <c r="L449" s="52" t="e">
        <f>#REF!*Tablo1[[#This Row],[Alkol]]</f>
        <v>#REF!</v>
      </c>
      <c r="M449" s="45"/>
      <c r="N449" s="52">
        <f>(Tablo1[[#This Row],[KALAN ESANS]]/Tablo1[[#This Row],[Esans]]*0.01)*(Tablo1[[#This Row],[Alkol]]*100)</f>
        <v>0</v>
      </c>
      <c r="O449" s="52">
        <f>(Tablo1[[#This Row],[KALAN ESANS]]/Tablo1[[#This Row],[Esans]]*0.01)*(Tablo1[[#This Row],[Su]]*100)</f>
        <v>0</v>
      </c>
      <c r="P449" s="52">
        <f>Tablo1[[#This Row],[KALAN ESANS]]+Tablo1[[#This Row],[ALKOL Mik]]+Tablo1[[#This Row],[SU Mik]]</f>
        <v>0</v>
      </c>
    </row>
    <row r="450" spans="1:16" ht="15" customHeight="1" x14ac:dyDescent="0.2">
      <c r="A450" s="19" t="s">
        <v>341</v>
      </c>
      <c r="B450" s="42"/>
      <c r="C450" s="2">
        <v>0.2</v>
      </c>
      <c r="D450" s="2">
        <v>0.02</v>
      </c>
      <c r="E450" s="8">
        <f t="shared" si="6"/>
        <v>0.78</v>
      </c>
      <c r="F450" s="5" t="s">
        <v>25</v>
      </c>
      <c r="G450" s="18" t="s">
        <v>769</v>
      </c>
      <c r="H450" s="58" t="e">
        <f>((Tablo1[[#This Row],[Esans Fiyat]]/#REF!*Tablo1[[#This Row],[Esans]]*100)+(#REF!/1000*Tablo1[[#This Row],[Su]]*100)+(#REF!/1000*Tablo1[[#This Row],[Alkol]]*100))*(#REF!/100)+#REF!</f>
        <v>#REF!</v>
      </c>
      <c r="I450" s="5" t="s">
        <v>776</v>
      </c>
      <c r="J450" s="52" t="e">
        <f>#REF!*Tablo1[[#This Row],[Esans]]</f>
        <v>#REF!</v>
      </c>
      <c r="K450" s="52" t="e">
        <f>#REF!*Tablo1[[#This Row],[Su]]</f>
        <v>#REF!</v>
      </c>
      <c r="L450" s="52" t="e">
        <f>#REF!*Tablo1[[#This Row],[Alkol]]</f>
        <v>#REF!</v>
      </c>
      <c r="M450" s="45"/>
      <c r="N450" s="52">
        <f>(Tablo1[[#This Row],[KALAN ESANS]]/Tablo1[[#This Row],[Esans]]*0.01)*(Tablo1[[#This Row],[Alkol]]*100)</f>
        <v>0</v>
      </c>
      <c r="O450" s="52">
        <f>(Tablo1[[#This Row],[KALAN ESANS]]/Tablo1[[#This Row],[Esans]]*0.01)*(Tablo1[[#This Row],[Su]]*100)</f>
        <v>0</v>
      </c>
      <c r="P450" s="52">
        <f>Tablo1[[#This Row],[KALAN ESANS]]+Tablo1[[#This Row],[ALKOL Mik]]+Tablo1[[#This Row],[SU Mik]]</f>
        <v>0</v>
      </c>
    </row>
    <row r="451" spans="1:16" ht="15" customHeight="1" x14ac:dyDescent="0.2">
      <c r="A451" s="19" t="s">
        <v>342</v>
      </c>
      <c r="B451" s="42"/>
      <c r="C451" s="2">
        <v>0.15</v>
      </c>
      <c r="D451" s="2">
        <v>0.02</v>
      </c>
      <c r="E451" s="8">
        <f t="shared" si="6"/>
        <v>0.83</v>
      </c>
      <c r="F451" s="5" t="s">
        <v>28</v>
      </c>
      <c r="G451" s="18" t="s">
        <v>769</v>
      </c>
      <c r="H451" s="58" t="e">
        <f>((Tablo1[[#This Row],[Esans Fiyat]]/#REF!*Tablo1[[#This Row],[Esans]]*100)+(#REF!/1000*Tablo1[[#This Row],[Su]]*100)+(#REF!/1000*Tablo1[[#This Row],[Alkol]]*100))*(#REF!/100)+#REF!</f>
        <v>#REF!</v>
      </c>
      <c r="I451" s="5" t="s">
        <v>772</v>
      </c>
      <c r="J451" s="52" t="e">
        <f>#REF!*Tablo1[[#This Row],[Esans]]</f>
        <v>#REF!</v>
      </c>
      <c r="K451" s="52" t="e">
        <f>#REF!*Tablo1[[#This Row],[Su]]</f>
        <v>#REF!</v>
      </c>
      <c r="L451" s="52" t="e">
        <f>#REF!*Tablo1[[#This Row],[Alkol]]</f>
        <v>#REF!</v>
      </c>
      <c r="M451" s="45"/>
      <c r="N451" s="52">
        <f>(Tablo1[[#This Row],[KALAN ESANS]]/Tablo1[[#This Row],[Esans]]*0.01)*(Tablo1[[#This Row],[Alkol]]*100)</f>
        <v>0</v>
      </c>
      <c r="O451" s="52">
        <f>(Tablo1[[#This Row],[KALAN ESANS]]/Tablo1[[#This Row],[Esans]]*0.01)*(Tablo1[[#This Row],[Su]]*100)</f>
        <v>0</v>
      </c>
      <c r="P451" s="52">
        <f>Tablo1[[#This Row],[KALAN ESANS]]+Tablo1[[#This Row],[ALKOL Mik]]+Tablo1[[#This Row],[SU Mik]]</f>
        <v>0</v>
      </c>
    </row>
    <row r="452" spans="1:16" ht="15" customHeight="1" x14ac:dyDescent="0.2">
      <c r="A452" s="19" t="s">
        <v>339</v>
      </c>
      <c r="B452" s="42"/>
      <c r="C452" s="2">
        <v>0.2</v>
      </c>
      <c r="D452" s="2">
        <v>0.02</v>
      </c>
      <c r="E452" s="8">
        <f t="shared" ref="E452:E515" si="7">1-D452-C452</f>
        <v>0.78</v>
      </c>
      <c r="F452" s="5" t="s">
        <v>25</v>
      </c>
      <c r="G452" s="18" t="s">
        <v>769</v>
      </c>
      <c r="H452" s="58" t="e">
        <f>((Tablo1[[#This Row],[Esans Fiyat]]/#REF!*Tablo1[[#This Row],[Esans]]*100)+(#REF!/1000*Tablo1[[#This Row],[Su]]*100)+(#REF!/1000*Tablo1[[#This Row],[Alkol]]*100))*(#REF!/100)+#REF!</f>
        <v>#REF!</v>
      </c>
      <c r="I452" s="5" t="s">
        <v>776</v>
      </c>
      <c r="J452" s="52" t="e">
        <f>#REF!*Tablo1[[#This Row],[Esans]]</f>
        <v>#REF!</v>
      </c>
      <c r="K452" s="52" t="e">
        <f>#REF!*Tablo1[[#This Row],[Su]]</f>
        <v>#REF!</v>
      </c>
      <c r="L452" s="52" t="e">
        <f>#REF!*Tablo1[[#This Row],[Alkol]]</f>
        <v>#REF!</v>
      </c>
      <c r="M452" s="45"/>
      <c r="N452" s="52">
        <f>(Tablo1[[#This Row],[KALAN ESANS]]/Tablo1[[#This Row],[Esans]]*0.01)*(Tablo1[[#This Row],[Alkol]]*100)</f>
        <v>0</v>
      </c>
      <c r="O452" s="52">
        <f>(Tablo1[[#This Row],[KALAN ESANS]]/Tablo1[[#This Row],[Esans]]*0.01)*(Tablo1[[#This Row],[Su]]*100)</f>
        <v>0</v>
      </c>
      <c r="P452" s="52">
        <f>Tablo1[[#This Row],[KALAN ESANS]]+Tablo1[[#This Row],[ALKOL Mik]]+Tablo1[[#This Row],[SU Mik]]</f>
        <v>0</v>
      </c>
    </row>
    <row r="453" spans="1:16" ht="15" customHeight="1" x14ac:dyDescent="0.2">
      <c r="A453" s="19" t="s">
        <v>340</v>
      </c>
      <c r="B453" s="42"/>
      <c r="C453" s="2">
        <v>0.2</v>
      </c>
      <c r="D453" s="2">
        <v>0.02</v>
      </c>
      <c r="E453" s="8">
        <f t="shared" si="7"/>
        <v>0.78</v>
      </c>
      <c r="F453" s="5" t="s">
        <v>25</v>
      </c>
      <c r="G453" s="18" t="s">
        <v>769</v>
      </c>
      <c r="H453" s="58" t="e">
        <f>((Tablo1[[#This Row],[Esans Fiyat]]/#REF!*Tablo1[[#This Row],[Esans]]*100)+(#REF!/1000*Tablo1[[#This Row],[Su]]*100)+(#REF!/1000*Tablo1[[#This Row],[Alkol]]*100))*(#REF!/100)+#REF!</f>
        <v>#REF!</v>
      </c>
      <c r="I453" s="5" t="s">
        <v>776</v>
      </c>
      <c r="J453" s="52" t="e">
        <f>#REF!*Tablo1[[#This Row],[Esans]]</f>
        <v>#REF!</v>
      </c>
      <c r="K453" s="52" t="e">
        <f>#REF!*Tablo1[[#This Row],[Su]]</f>
        <v>#REF!</v>
      </c>
      <c r="L453" s="52" t="e">
        <f>#REF!*Tablo1[[#This Row],[Alkol]]</f>
        <v>#REF!</v>
      </c>
      <c r="M453" s="45"/>
      <c r="N453" s="52">
        <f>(Tablo1[[#This Row],[KALAN ESANS]]/Tablo1[[#This Row],[Esans]]*0.01)*(Tablo1[[#This Row],[Alkol]]*100)</f>
        <v>0</v>
      </c>
      <c r="O453" s="52">
        <f>(Tablo1[[#This Row],[KALAN ESANS]]/Tablo1[[#This Row],[Esans]]*0.01)*(Tablo1[[#This Row],[Su]]*100)</f>
        <v>0</v>
      </c>
      <c r="P453" s="52">
        <f>Tablo1[[#This Row],[KALAN ESANS]]+Tablo1[[#This Row],[ALKOL Mik]]+Tablo1[[#This Row],[SU Mik]]</f>
        <v>0</v>
      </c>
    </row>
    <row r="454" spans="1:16" ht="15" customHeight="1" x14ac:dyDescent="0.2">
      <c r="A454" s="19" t="s">
        <v>338</v>
      </c>
      <c r="B454" s="42"/>
      <c r="C454" s="2">
        <v>0.22</v>
      </c>
      <c r="D454" s="2">
        <v>0.02</v>
      </c>
      <c r="E454" s="8">
        <f t="shared" si="7"/>
        <v>0.76</v>
      </c>
      <c r="F454" s="5" t="s">
        <v>25</v>
      </c>
      <c r="G454" s="18" t="s">
        <v>769</v>
      </c>
      <c r="H454" s="58" t="e">
        <f>((Tablo1[[#This Row],[Esans Fiyat]]/#REF!*Tablo1[[#This Row],[Esans]]*100)+(#REF!/1000*Tablo1[[#This Row],[Su]]*100)+(#REF!/1000*Tablo1[[#This Row],[Alkol]]*100))*(#REF!/100)+#REF!</f>
        <v>#REF!</v>
      </c>
      <c r="I454" s="5" t="s">
        <v>772</v>
      </c>
      <c r="J454" s="52" t="e">
        <f>#REF!*Tablo1[[#This Row],[Esans]]</f>
        <v>#REF!</v>
      </c>
      <c r="K454" s="52" t="e">
        <f>#REF!*Tablo1[[#This Row],[Su]]</f>
        <v>#REF!</v>
      </c>
      <c r="L454" s="52" t="e">
        <f>#REF!*Tablo1[[#This Row],[Alkol]]</f>
        <v>#REF!</v>
      </c>
      <c r="M454" s="45"/>
      <c r="N454" s="52">
        <f>(Tablo1[[#This Row],[KALAN ESANS]]/Tablo1[[#This Row],[Esans]]*0.01)*(Tablo1[[#This Row],[Alkol]]*100)</f>
        <v>0</v>
      </c>
      <c r="O454" s="52">
        <f>(Tablo1[[#This Row],[KALAN ESANS]]/Tablo1[[#This Row],[Esans]]*0.01)*(Tablo1[[#This Row],[Su]]*100)</f>
        <v>0</v>
      </c>
      <c r="P454" s="52">
        <f>Tablo1[[#This Row],[KALAN ESANS]]+Tablo1[[#This Row],[ALKOL Mik]]+Tablo1[[#This Row],[SU Mik]]</f>
        <v>0</v>
      </c>
    </row>
    <row r="455" spans="1:16" ht="15" customHeight="1" x14ac:dyDescent="0.2">
      <c r="A455" s="19" t="s">
        <v>337</v>
      </c>
      <c r="B455" s="42"/>
      <c r="C455" s="2">
        <v>0.2</v>
      </c>
      <c r="D455" s="2">
        <v>0.02</v>
      </c>
      <c r="E455" s="8">
        <f t="shared" si="7"/>
        <v>0.78</v>
      </c>
      <c r="F455" s="5" t="s">
        <v>25</v>
      </c>
      <c r="G455" s="18" t="s">
        <v>769</v>
      </c>
      <c r="H455" s="58" t="e">
        <f>((Tablo1[[#This Row],[Esans Fiyat]]/#REF!*Tablo1[[#This Row],[Esans]]*100)+(#REF!/1000*Tablo1[[#This Row],[Su]]*100)+(#REF!/1000*Tablo1[[#This Row],[Alkol]]*100))*(#REF!/100)+#REF!</f>
        <v>#REF!</v>
      </c>
      <c r="I455" s="5" t="s">
        <v>772</v>
      </c>
      <c r="J455" s="52" t="e">
        <f>#REF!*Tablo1[[#This Row],[Esans]]</f>
        <v>#REF!</v>
      </c>
      <c r="K455" s="52" t="e">
        <f>#REF!*Tablo1[[#This Row],[Su]]</f>
        <v>#REF!</v>
      </c>
      <c r="L455" s="52" t="e">
        <f>#REF!*Tablo1[[#This Row],[Alkol]]</f>
        <v>#REF!</v>
      </c>
      <c r="M455" s="45"/>
      <c r="N455" s="52">
        <f>(Tablo1[[#This Row],[KALAN ESANS]]/Tablo1[[#This Row],[Esans]]*0.01)*(Tablo1[[#This Row],[Alkol]]*100)</f>
        <v>0</v>
      </c>
      <c r="O455" s="52">
        <f>(Tablo1[[#This Row],[KALAN ESANS]]/Tablo1[[#This Row],[Esans]]*0.01)*(Tablo1[[#This Row],[Su]]*100)</f>
        <v>0</v>
      </c>
      <c r="P455" s="52">
        <f>Tablo1[[#This Row],[KALAN ESANS]]+Tablo1[[#This Row],[ALKOL Mik]]+Tablo1[[#This Row],[SU Mik]]</f>
        <v>0</v>
      </c>
    </row>
    <row r="456" spans="1:16" ht="15" customHeight="1" x14ac:dyDescent="0.2">
      <c r="A456" s="19" t="s">
        <v>336</v>
      </c>
      <c r="B456" s="42"/>
      <c r="C456" s="2">
        <v>0.18</v>
      </c>
      <c r="D456" s="2">
        <v>0.02</v>
      </c>
      <c r="E456" s="8">
        <f t="shared" si="7"/>
        <v>0.8</v>
      </c>
      <c r="F456" s="5" t="s">
        <v>25</v>
      </c>
      <c r="G456" s="18" t="s">
        <v>769</v>
      </c>
      <c r="H456" s="58" t="e">
        <f>((Tablo1[[#This Row],[Esans Fiyat]]/#REF!*Tablo1[[#This Row],[Esans]]*100)+(#REF!/1000*Tablo1[[#This Row],[Su]]*100)+(#REF!/1000*Tablo1[[#This Row],[Alkol]]*100))*(#REF!/100)+#REF!</f>
        <v>#REF!</v>
      </c>
      <c r="I456" s="5" t="s">
        <v>772</v>
      </c>
      <c r="J456" s="52" t="e">
        <f>#REF!*Tablo1[[#This Row],[Esans]]</f>
        <v>#REF!</v>
      </c>
      <c r="K456" s="52" t="e">
        <f>#REF!*Tablo1[[#This Row],[Su]]</f>
        <v>#REF!</v>
      </c>
      <c r="L456" s="52" t="e">
        <f>#REF!*Tablo1[[#This Row],[Alkol]]</f>
        <v>#REF!</v>
      </c>
      <c r="M456" s="45"/>
      <c r="N456" s="52">
        <f>(Tablo1[[#This Row],[KALAN ESANS]]/Tablo1[[#This Row],[Esans]]*0.01)*(Tablo1[[#This Row],[Alkol]]*100)</f>
        <v>0</v>
      </c>
      <c r="O456" s="52">
        <f>(Tablo1[[#This Row],[KALAN ESANS]]/Tablo1[[#This Row],[Esans]]*0.01)*(Tablo1[[#This Row],[Su]]*100)</f>
        <v>0</v>
      </c>
      <c r="P456" s="52">
        <f>Tablo1[[#This Row],[KALAN ESANS]]+Tablo1[[#This Row],[ALKOL Mik]]+Tablo1[[#This Row],[SU Mik]]</f>
        <v>0</v>
      </c>
    </row>
    <row r="457" spans="1:16" ht="15" customHeight="1" x14ac:dyDescent="0.2">
      <c r="A457" s="19" t="s">
        <v>335</v>
      </c>
      <c r="B457" s="42"/>
      <c r="C457" s="2">
        <v>0.2</v>
      </c>
      <c r="D457" s="2">
        <v>0.02</v>
      </c>
      <c r="E457" s="8">
        <f t="shared" si="7"/>
        <v>0.78</v>
      </c>
      <c r="F457" s="5" t="s">
        <v>25</v>
      </c>
      <c r="G457" s="18" t="s">
        <v>769</v>
      </c>
      <c r="H457" s="58" t="e">
        <f>((Tablo1[[#This Row],[Esans Fiyat]]/#REF!*Tablo1[[#This Row],[Esans]]*100)+(#REF!/1000*Tablo1[[#This Row],[Su]]*100)+(#REF!/1000*Tablo1[[#This Row],[Alkol]]*100))*(#REF!/100)+#REF!</f>
        <v>#REF!</v>
      </c>
      <c r="I457" s="5" t="s">
        <v>778</v>
      </c>
      <c r="J457" s="52" t="e">
        <f>#REF!*Tablo1[[#This Row],[Esans]]</f>
        <v>#REF!</v>
      </c>
      <c r="K457" s="52" t="e">
        <f>#REF!*Tablo1[[#This Row],[Su]]</f>
        <v>#REF!</v>
      </c>
      <c r="L457" s="52" t="e">
        <f>#REF!*Tablo1[[#This Row],[Alkol]]</f>
        <v>#REF!</v>
      </c>
      <c r="M457" s="45"/>
      <c r="N457" s="52">
        <f>(Tablo1[[#This Row],[KALAN ESANS]]/Tablo1[[#This Row],[Esans]]*0.01)*(Tablo1[[#This Row],[Alkol]]*100)</f>
        <v>0</v>
      </c>
      <c r="O457" s="52">
        <f>(Tablo1[[#This Row],[KALAN ESANS]]/Tablo1[[#This Row],[Esans]]*0.01)*(Tablo1[[#This Row],[Su]]*100)</f>
        <v>0</v>
      </c>
      <c r="P457" s="52">
        <f>Tablo1[[#This Row],[KALAN ESANS]]+Tablo1[[#This Row],[ALKOL Mik]]+Tablo1[[#This Row],[SU Mik]]</f>
        <v>0</v>
      </c>
    </row>
    <row r="458" spans="1:16" ht="15" customHeight="1" x14ac:dyDescent="0.2">
      <c r="A458" s="19" t="s">
        <v>334</v>
      </c>
      <c r="B458" s="42"/>
      <c r="C458" s="2">
        <v>0.15</v>
      </c>
      <c r="D458" s="2">
        <v>0.02</v>
      </c>
      <c r="E458" s="8">
        <f t="shared" si="7"/>
        <v>0.83</v>
      </c>
      <c r="F458" s="5" t="s">
        <v>28</v>
      </c>
      <c r="G458" s="18" t="s">
        <v>769</v>
      </c>
      <c r="H458" s="58" t="e">
        <f>((Tablo1[[#This Row],[Esans Fiyat]]/#REF!*Tablo1[[#This Row],[Esans]]*100)+(#REF!/1000*Tablo1[[#This Row],[Su]]*100)+(#REF!/1000*Tablo1[[#This Row],[Alkol]]*100))*(#REF!/100)+#REF!</f>
        <v>#REF!</v>
      </c>
      <c r="I458" s="5" t="s">
        <v>776</v>
      </c>
      <c r="J458" s="52" t="e">
        <f>#REF!*Tablo1[[#This Row],[Esans]]</f>
        <v>#REF!</v>
      </c>
      <c r="K458" s="52" t="e">
        <f>#REF!*Tablo1[[#This Row],[Su]]</f>
        <v>#REF!</v>
      </c>
      <c r="L458" s="52" t="e">
        <f>#REF!*Tablo1[[#This Row],[Alkol]]</f>
        <v>#REF!</v>
      </c>
      <c r="M458" s="45"/>
      <c r="N458" s="52">
        <f>(Tablo1[[#This Row],[KALAN ESANS]]/Tablo1[[#This Row],[Esans]]*0.01)*(Tablo1[[#This Row],[Alkol]]*100)</f>
        <v>0</v>
      </c>
      <c r="O458" s="52">
        <f>(Tablo1[[#This Row],[KALAN ESANS]]/Tablo1[[#This Row],[Esans]]*0.01)*(Tablo1[[#This Row],[Su]]*100)</f>
        <v>0</v>
      </c>
      <c r="P458" s="52">
        <f>Tablo1[[#This Row],[KALAN ESANS]]+Tablo1[[#This Row],[ALKOL Mik]]+Tablo1[[#This Row],[SU Mik]]</f>
        <v>0</v>
      </c>
    </row>
    <row r="459" spans="1:16" ht="15" customHeight="1" x14ac:dyDescent="0.2">
      <c r="A459" s="19" t="s">
        <v>280</v>
      </c>
      <c r="B459" s="42"/>
      <c r="C459" s="2">
        <v>0.2</v>
      </c>
      <c r="D459" s="2">
        <v>0.02</v>
      </c>
      <c r="E459" s="8">
        <f t="shared" si="7"/>
        <v>0.78</v>
      </c>
      <c r="F459" s="5" t="s">
        <v>25</v>
      </c>
      <c r="G459" s="18" t="s">
        <v>769</v>
      </c>
      <c r="H459" s="58" t="e">
        <f>((Tablo1[[#This Row],[Esans Fiyat]]/#REF!*Tablo1[[#This Row],[Esans]]*100)+(#REF!/1000*Tablo1[[#This Row],[Su]]*100)+(#REF!/1000*Tablo1[[#This Row],[Alkol]]*100))*(#REF!/100)+#REF!</f>
        <v>#REF!</v>
      </c>
      <c r="I459" s="5" t="s">
        <v>776</v>
      </c>
      <c r="J459" s="52" t="e">
        <f>#REF!*Tablo1[[#This Row],[Esans]]</f>
        <v>#REF!</v>
      </c>
      <c r="K459" s="52" t="e">
        <f>#REF!*Tablo1[[#This Row],[Su]]</f>
        <v>#REF!</v>
      </c>
      <c r="L459" s="52" t="e">
        <f>#REF!*Tablo1[[#This Row],[Alkol]]</f>
        <v>#REF!</v>
      </c>
      <c r="M459" s="45"/>
      <c r="N459" s="52">
        <f>(Tablo1[[#This Row],[KALAN ESANS]]/Tablo1[[#This Row],[Esans]]*0.01)*(Tablo1[[#This Row],[Alkol]]*100)</f>
        <v>0</v>
      </c>
      <c r="O459" s="52">
        <f>(Tablo1[[#This Row],[KALAN ESANS]]/Tablo1[[#This Row],[Esans]]*0.01)*(Tablo1[[#This Row],[Su]]*100)</f>
        <v>0</v>
      </c>
      <c r="P459" s="52">
        <f>Tablo1[[#This Row],[KALAN ESANS]]+Tablo1[[#This Row],[ALKOL Mik]]+Tablo1[[#This Row],[SU Mik]]</f>
        <v>0</v>
      </c>
    </row>
    <row r="460" spans="1:16" ht="15" customHeight="1" x14ac:dyDescent="0.2">
      <c r="A460" s="19" t="s">
        <v>333</v>
      </c>
      <c r="B460" s="42"/>
      <c r="C460" s="2">
        <v>0.21</v>
      </c>
      <c r="D460" s="2">
        <v>0.02</v>
      </c>
      <c r="E460" s="8">
        <f t="shared" si="7"/>
        <v>0.77</v>
      </c>
      <c r="F460" s="5" t="s">
        <v>25</v>
      </c>
      <c r="G460" s="18" t="s">
        <v>769</v>
      </c>
      <c r="H460" s="58" t="e">
        <f>((Tablo1[[#This Row],[Esans Fiyat]]/#REF!*Tablo1[[#This Row],[Esans]]*100)+(#REF!/1000*Tablo1[[#This Row],[Su]]*100)+(#REF!/1000*Tablo1[[#This Row],[Alkol]]*100))*(#REF!/100)+#REF!</f>
        <v>#REF!</v>
      </c>
      <c r="I460" s="5" t="s">
        <v>772</v>
      </c>
      <c r="J460" s="52" t="e">
        <f>#REF!*Tablo1[[#This Row],[Esans]]</f>
        <v>#REF!</v>
      </c>
      <c r="K460" s="52" t="e">
        <f>#REF!*Tablo1[[#This Row],[Su]]</f>
        <v>#REF!</v>
      </c>
      <c r="L460" s="52" t="e">
        <f>#REF!*Tablo1[[#This Row],[Alkol]]</f>
        <v>#REF!</v>
      </c>
      <c r="M460" s="45"/>
      <c r="N460" s="52">
        <f>(Tablo1[[#This Row],[KALAN ESANS]]/Tablo1[[#This Row],[Esans]]*0.01)*(Tablo1[[#This Row],[Alkol]]*100)</f>
        <v>0</v>
      </c>
      <c r="O460" s="52">
        <f>(Tablo1[[#This Row],[KALAN ESANS]]/Tablo1[[#This Row],[Esans]]*0.01)*(Tablo1[[#This Row],[Su]]*100)</f>
        <v>0</v>
      </c>
      <c r="P460" s="52">
        <f>Tablo1[[#This Row],[KALAN ESANS]]+Tablo1[[#This Row],[ALKOL Mik]]+Tablo1[[#This Row],[SU Mik]]</f>
        <v>0</v>
      </c>
    </row>
    <row r="461" spans="1:16" ht="15" customHeight="1" x14ac:dyDescent="0.2">
      <c r="A461" s="19" t="s">
        <v>332</v>
      </c>
      <c r="B461" s="42"/>
      <c r="C461" s="2">
        <v>0.24</v>
      </c>
      <c r="D461" s="2">
        <v>0.02</v>
      </c>
      <c r="E461" s="8">
        <f t="shared" si="7"/>
        <v>0.74</v>
      </c>
      <c r="F461" s="5" t="s">
        <v>25</v>
      </c>
      <c r="G461" s="18" t="s">
        <v>769</v>
      </c>
      <c r="H461" s="58" t="e">
        <f>((Tablo1[[#This Row],[Esans Fiyat]]/#REF!*Tablo1[[#This Row],[Esans]]*100)+(#REF!/1000*Tablo1[[#This Row],[Su]]*100)+(#REF!/1000*Tablo1[[#This Row],[Alkol]]*100))*(#REF!/100)+#REF!</f>
        <v>#REF!</v>
      </c>
      <c r="I461" s="5" t="s">
        <v>772</v>
      </c>
      <c r="J461" s="52" t="e">
        <f>#REF!*Tablo1[[#This Row],[Esans]]</f>
        <v>#REF!</v>
      </c>
      <c r="K461" s="52" t="e">
        <f>#REF!*Tablo1[[#This Row],[Su]]</f>
        <v>#REF!</v>
      </c>
      <c r="L461" s="52" t="e">
        <f>#REF!*Tablo1[[#This Row],[Alkol]]</f>
        <v>#REF!</v>
      </c>
      <c r="M461" s="45"/>
      <c r="N461" s="52">
        <f>(Tablo1[[#This Row],[KALAN ESANS]]/Tablo1[[#This Row],[Esans]]*0.01)*(Tablo1[[#This Row],[Alkol]]*100)</f>
        <v>0</v>
      </c>
      <c r="O461" s="52">
        <f>(Tablo1[[#This Row],[KALAN ESANS]]/Tablo1[[#This Row],[Esans]]*0.01)*(Tablo1[[#This Row],[Su]]*100)</f>
        <v>0</v>
      </c>
      <c r="P461" s="52">
        <f>Tablo1[[#This Row],[KALAN ESANS]]+Tablo1[[#This Row],[ALKOL Mik]]+Tablo1[[#This Row],[SU Mik]]</f>
        <v>0</v>
      </c>
    </row>
    <row r="462" spans="1:16" ht="15" customHeight="1" x14ac:dyDescent="0.2">
      <c r="A462" s="19" t="s">
        <v>329</v>
      </c>
      <c r="B462" s="42"/>
      <c r="C462" s="2">
        <v>0.2</v>
      </c>
      <c r="D462" s="2">
        <v>0.02</v>
      </c>
      <c r="E462" s="8">
        <f t="shared" si="7"/>
        <v>0.78</v>
      </c>
      <c r="F462" s="5" t="s">
        <v>25</v>
      </c>
      <c r="G462" s="18" t="s">
        <v>769</v>
      </c>
      <c r="H462" s="58" t="e">
        <f>((Tablo1[[#This Row],[Esans Fiyat]]/#REF!*Tablo1[[#This Row],[Esans]]*100)+(#REF!/1000*Tablo1[[#This Row],[Su]]*100)+(#REF!/1000*Tablo1[[#This Row],[Alkol]]*100))*(#REF!/100)+#REF!</f>
        <v>#REF!</v>
      </c>
      <c r="I462" s="5" t="s">
        <v>776</v>
      </c>
      <c r="J462" s="52" t="e">
        <f>#REF!*Tablo1[[#This Row],[Esans]]</f>
        <v>#REF!</v>
      </c>
      <c r="K462" s="52" t="e">
        <f>#REF!*Tablo1[[#This Row],[Su]]</f>
        <v>#REF!</v>
      </c>
      <c r="L462" s="52" t="e">
        <f>#REF!*Tablo1[[#This Row],[Alkol]]</f>
        <v>#REF!</v>
      </c>
      <c r="M462" s="45"/>
      <c r="N462" s="52">
        <f>(Tablo1[[#This Row],[KALAN ESANS]]/Tablo1[[#This Row],[Esans]]*0.01)*(Tablo1[[#This Row],[Alkol]]*100)</f>
        <v>0</v>
      </c>
      <c r="O462" s="52">
        <f>(Tablo1[[#This Row],[KALAN ESANS]]/Tablo1[[#This Row],[Esans]]*0.01)*(Tablo1[[#This Row],[Su]]*100)</f>
        <v>0</v>
      </c>
      <c r="P462" s="52">
        <f>Tablo1[[#This Row],[KALAN ESANS]]+Tablo1[[#This Row],[ALKOL Mik]]+Tablo1[[#This Row],[SU Mik]]</f>
        <v>0</v>
      </c>
    </row>
    <row r="463" spans="1:16" ht="15" customHeight="1" x14ac:dyDescent="0.2">
      <c r="A463" s="19" t="s">
        <v>331</v>
      </c>
      <c r="B463" s="42"/>
      <c r="C463" s="2">
        <v>0.2</v>
      </c>
      <c r="D463" s="2">
        <v>0</v>
      </c>
      <c r="E463" s="8">
        <f t="shared" si="7"/>
        <v>0.8</v>
      </c>
      <c r="F463" s="5" t="s">
        <v>25</v>
      </c>
      <c r="G463" s="18" t="s">
        <v>769</v>
      </c>
      <c r="H463" s="58" t="e">
        <f>((Tablo1[[#This Row],[Esans Fiyat]]/#REF!*Tablo1[[#This Row],[Esans]]*100)+(#REF!/1000*Tablo1[[#This Row],[Su]]*100)+(#REF!/1000*Tablo1[[#This Row],[Alkol]]*100))*(#REF!/100)+#REF!</f>
        <v>#REF!</v>
      </c>
      <c r="I463" s="5" t="s">
        <v>776</v>
      </c>
      <c r="J463" s="52" t="e">
        <f>#REF!*Tablo1[[#This Row],[Esans]]</f>
        <v>#REF!</v>
      </c>
      <c r="K463" s="52" t="e">
        <f>#REF!*Tablo1[[#This Row],[Su]]</f>
        <v>#REF!</v>
      </c>
      <c r="L463" s="52" t="e">
        <f>#REF!*Tablo1[[#This Row],[Alkol]]</f>
        <v>#REF!</v>
      </c>
      <c r="M463" s="45"/>
      <c r="N463" s="52">
        <f>(Tablo1[[#This Row],[KALAN ESANS]]/Tablo1[[#This Row],[Esans]]*0.01)*(Tablo1[[#This Row],[Alkol]]*100)</f>
        <v>0</v>
      </c>
      <c r="O463" s="52">
        <f>(Tablo1[[#This Row],[KALAN ESANS]]/Tablo1[[#This Row],[Esans]]*0.01)*(Tablo1[[#This Row],[Su]]*100)</f>
        <v>0</v>
      </c>
      <c r="P463" s="52">
        <f>Tablo1[[#This Row],[KALAN ESANS]]+Tablo1[[#This Row],[ALKOL Mik]]+Tablo1[[#This Row],[SU Mik]]</f>
        <v>0</v>
      </c>
    </row>
    <row r="464" spans="1:16" ht="15" customHeight="1" x14ac:dyDescent="0.2">
      <c r="A464" s="19" t="s">
        <v>330</v>
      </c>
      <c r="B464" s="42"/>
      <c r="C464" s="2">
        <v>0.2</v>
      </c>
      <c r="D464" s="2">
        <v>0.02</v>
      </c>
      <c r="E464" s="8">
        <f t="shared" si="7"/>
        <v>0.78</v>
      </c>
      <c r="F464" s="5" t="s">
        <v>25</v>
      </c>
      <c r="G464" s="18" t="s">
        <v>769</v>
      </c>
      <c r="H464" s="58" t="e">
        <f>((Tablo1[[#This Row],[Esans Fiyat]]/#REF!*Tablo1[[#This Row],[Esans]]*100)+(#REF!/1000*Tablo1[[#This Row],[Su]]*100)+(#REF!/1000*Tablo1[[#This Row],[Alkol]]*100))*(#REF!/100)+#REF!</f>
        <v>#REF!</v>
      </c>
      <c r="I464" s="5" t="s">
        <v>776</v>
      </c>
      <c r="J464" s="52" t="e">
        <f>#REF!*Tablo1[[#This Row],[Esans]]</f>
        <v>#REF!</v>
      </c>
      <c r="K464" s="52" t="e">
        <f>#REF!*Tablo1[[#This Row],[Su]]</f>
        <v>#REF!</v>
      </c>
      <c r="L464" s="52" t="e">
        <f>#REF!*Tablo1[[#This Row],[Alkol]]</f>
        <v>#REF!</v>
      </c>
      <c r="M464" s="45"/>
      <c r="N464" s="52">
        <f>(Tablo1[[#This Row],[KALAN ESANS]]/Tablo1[[#This Row],[Esans]]*0.01)*(Tablo1[[#This Row],[Alkol]]*100)</f>
        <v>0</v>
      </c>
      <c r="O464" s="52">
        <f>(Tablo1[[#This Row],[KALAN ESANS]]/Tablo1[[#This Row],[Esans]]*0.01)*(Tablo1[[#This Row],[Su]]*100)</f>
        <v>0</v>
      </c>
      <c r="P464" s="52">
        <f>Tablo1[[#This Row],[KALAN ESANS]]+Tablo1[[#This Row],[ALKOL Mik]]+Tablo1[[#This Row],[SU Mik]]</f>
        <v>0</v>
      </c>
    </row>
    <row r="465" spans="1:16" ht="15" customHeight="1" x14ac:dyDescent="0.2">
      <c r="A465" s="19" t="s">
        <v>326</v>
      </c>
      <c r="B465" s="42"/>
      <c r="C465" s="2">
        <v>0.2</v>
      </c>
      <c r="D465" s="2">
        <v>0.02</v>
      </c>
      <c r="E465" s="8">
        <f t="shared" si="7"/>
        <v>0.78</v>
      </c>
      <c r="F465" s="5" t="s">
        <v>25</v>
      </c>
      <c r="G465" s="18" t="s">
        <v>769</v>
      </c>
      <c r="H465" s="58" t="e">
        <f>((Tablo1[[#This Row],[Esans Fiyat]]/#REF!*Tablo1[[#This Row],[Esans]]*100)+(#REF!/1000*Tablo1[[#This Row],[Su]]*100)+(#REF!/1000*Tablo1[[#This Row],[Alkol]]*100))*(#REF!/100)+#REF!</f>
        <v>#REF!</v>
      </c>
      <c r="I465" s="5" t="s">
        <v>776</v>
      </c>
      <c r="J465" s="52" t="e">
        <f>#REF!*Tablo1[[#This Row],[Esans]]</f>
        <v>#REF!</v>
      </c>
      <c r="K465" s="52" t="e">
        <f>#REF!*Tablo1[[#This Row],[Su]]</f>
        <v>#REF!</v>
      </c>
      <c r="L465" s="52" t="e">
        <f>#REF!*Tablo1[[#This Row],[Alkol]]</f>
        <v>#REF!</v>
      </c>
      <c r="M465" s="45"/>
      <c r="N465" s="52">
        <f>(Tablo1[[#This Row],[KALAN ESANS]]/Tablo1[[#This Row],[Esans]]*0.01)*(Tablo1[[#This Row],[Alkol]]*100)</f>
        <v>0</v>
      </c>
      <c r="O465" s="52">
        <f>(Tablo1[[#This Row],[KALAN ESANS]]/Tablo1[[#This Row],[Esans]]*0.01)*(Tablo1[[#This Row],[Su]]*100)</f>
        <v>0</v>
      </c>
      <c r="P465" s="52">
        <f>Tablo1[[#This Row],[KALAN ESANS]]+Tablo1[[#This Row],[ALKOL Mik]]+Tablo1[[#This Row],[SU Mik]]</f>
        <v>0</v>
      </c>
    </row>
    <row r="466" spans="1:16" ht="15" customHeight="1" x14ac:dyDescent="0.2">
      <c r="A466" s="19" t="s">
        <v>327</v>
      </c>
      <c r="B466" s="42"/>
      <c r="C466" s="2">
        <v>0.2</v>
      </c>
      <c r="D466" s="2">
        <v>0.02</v>
      </c>
      <c r="E466" s="8">
        <f t="shared" si="7"/>
        <v>0.78</v>
      </c>
      <c r="F466" s="5" t="s">
        <v>25</v>
      </c>
      <c r="G466" s="18" t="s">
        <v>769</v>
      </c>
      <c r="H466" s="58" t="e">
        <f>((Tablo1[[#This Row],[Esans Fiyat]]/#REF!*Tablo1[[#This Row],[Esans]]*100)+(#REF!/1000*Tablo1[[#This Row],[Su]]*100)+(#REF!/1000*Tablo1[[#This Row],[Alkol]]*100))*(#REF!/100)+#REF!</f>
        <v>#REF!</v>
      </c>
      <c r="I466" s="5" t="s">
        <v>772</v>
      </c>
      <c r="J466" s="52" t="e">
        <f>#REF!*Tablo1[[#This Row],[Esans]]</f>
        <v>#REF!</v>
      </c>
      <c r="K466" s="52" t="e">
        <f>#REF!*Tablo1[[#This Row],[Su]]</f>
        <v>#REF!</v>
      </c>
      <c r="L466" s="52" t="e">
        <f>#REF!*Tablo1[[#This Row],[Alkol]]</f>
        <v>#REF!</v>
      </c>
      <c r="M466" s="45"/>
      <c r="N466" s="52">
        <f>(Tablo1[[#This Row],[KALAN ESANS]]/Tablo1[[#This Row],[Esans]]*0.01)*(Tablo1[[#This Row],[Alkol]]*100)</f>
        <v>0</v>
      </c>
      <c r="O466" s="52">
        <f>(Tablo1[[#This Row],[KALAN ESANS]]/Tablo1[[#This Row],[Esans]]*0.01)*(Tablo1[[#This Row],[Su]]*100)</f>
        <v>0</v>
      </c>
      <c r="P466" s="52">
        <f>Tablo1[[#This Row],[KALAN ESANS]]+Tablo1[[#This Row],[ALKOL Mik]]+Tablo1[[#This Row],[SU Mik]]</f>
        <v>0</v>
      </c>
    </row>
    <row r="467" spans="1:16" ht="15" customHeight="1" x14ac:dyDescent="0.2">
      <c r="A467" s="19" t="s">
        <v>324</v>
      </c>
      <c r="B467" s="42"/>
      <c r="C467" s="2">
        <v>0.2</v>
      </c>
      <c r="D467" s="2">
        <v>0.02</v>
      </c>
      <c r="E467" s="8">
        <f t="shared" si="7"/>
        <v>0.78</v>
      </c>
      <c r="F467" s="5" t="s">
        <v>25</v>
      </c>
      <c r="G467" s="18" t="s">
        <v>769</v>
      </c>
      <c r="H467" s="58" t="e">
        <f>((Tablo1[[#This Row],[Esans Fiyat]]/#REF!*Tablo1[[#This Row],[Esans]]*100)+(#REF!/1000*Tablo1[[#This Row],[Su]]*100)+(#REF!/1000*Tablo1[[#This Row],[Alkol]]*100))*(#REF!/100)+#REF!</f>
        <v>#REF!</v>
      </c>
      <c r="I467" s="5" t="s">
        <v>776</v>
      </c>
      <c r="J467" s="52" t="e">
        <f>#REF!*Tablo1[[#This Row],[Esans]]</f>
        <v>#REF!</v>
      </c>
      <c r="K467" s="52" t="e">
        <f>#REF!*Tablo1[[#This Row],[Su]]</f>
        <v>#REF!</v>
      </c>
      <c r="L467" s="52" t="e">
        <f>#REF!*Tablo1[[#This Row],[Alkol]]</f>
        <v>#REF!</v>
      </c>
      <c r="M467" s="45"/>
      <c r="N467" s="52">
        <f>(Tablo1[[#This Row],[KALAN ESANS]]/Tablo1[[#This Row],[Esans]]*0.01)*(Tablo1[[#This Row],[Alkol]]*100)</f>
        <v>0</v>
      </c>
      <c r="O467" s="52">
        <f>(Tablo1[[#This Row],[KALAN ESANS]]/Tablo1[[#This Row],[Esans]]*0.01)*(Tablo1[[#This Row],[Su]]*100)</f>
        <v>0</v>
      </c>
      <c r="P467" s="52">
        <f>Tablo1[[#This Row],[KALAN ESANS]]+Tablo1[[#This Row],[ALKOL Mik]]+Tablo1[[#This Row],[SU Mik]]</f>
        <v>0</v>
      </c>
    </row>
    <row r="468" spans="1:16" ht="15" customHeight="1" x14ac:dyDescent="0.2">
      <c r="A468" s="19" t="s">
        <v>325</v>
      </c>
      <c r="B468" s="42"/>
      <c r="C468" s="2">
        <v>0.18</v>
      </c>
      <c r="D468" s="2">
        <v>0.02</v>
      </c>
      <c r="E468" s="8">
        <f t="shared" si="7"/>
        <v>0.8</v>
      </c>
      <c r="F468" s="5" t="s">
        <v>25</v>
      </c>
      <c r="G468" s="18" t="s">
        <v>769</v>
      </c>
      <c r="H468" s="58" t="e">
        <f>((Tablo1[[#This Row],[Esans Fiyat]]/#REF!*Tablo1[[#This Row],[Esans]]*100)+(#REF!/1000*Tablo1[[#This Row],[Su]]*100)+(#REF!/1000*Tablo1[[#This Row],[Alkol]]*100))*(#REF!/100)+#REF!</f>
        <v>#REF!</v>
      </c>
      <c r="I468" s="5" t="s">
        <v>772</v>
      </c>
      <c r="J468" s="52" t="e">
        <f>#REF!*Tablo1[[#This Row],[Esans]]</f>
        <v>#REF!</v>
      </c>
      <c r="K468" s="52" t="e">
        <f>#REF!*Tablo1[[#This Row],[Su]]</f>
        <v>#REF!</v>
      </c>
      <c r="L468" s="52" t="e">
        <f>#REF!*Tablo1[[#This Row],[Alkol]]</f>
        <v>#REF!</v>
      </c>
      <c r="M468" s="45"/>
      <c r="N468" s="52">
        <f>(Tablo1[[#This Row],[KALAN ESANS]]/Tablo1[[#This Row],[Esans]]*0.01)*(Tablo1[[#This Row],[Alkol]]*100)</f>
        <v>0</v>
      </c>
      <c r="O468" s="52">
        <f>(Tablo1[[#This Row],[KALAN ESANS]]/Tablo1[[#This Row],[Esans]]*0.01)*(Tablo1[[#This Row],[Su]]*100)</f>
        <v>0</v>
      </c>
      <c r="P468" s="52">
        <f>Tablo1[[#This Row],[KALAN ESANS]]+Tablo1[[#This Row],[ALKOL Mik]]+Tablo1[[#This Row],[SU Mik]]</f>
        <v>0</v>
      </c>
    </row>
    <row r="469" spans="1:16" ht="15" customHeight="1" x14ac:dyDescent="0.2">
      <c r="A469" s="19" t="s">
        <v>328</v>
      </c>
      <c r="B469" s="42"/>
      <c r="C469" s="2">
        <v>0.2</v>
      </c>
      <c r="D469" s="2">
        <v>0.02</v>
      </c>
      <c r="E469" s="8">
        <f t="shared" si="7"/>
        <v>0.78</v>
      </c>
      <c r="F469" s="5" t="s">
        <v>25</v>
      </c>
      <c r="G469" s="18" t="s">
        <v>769</v>
      </c>
      <c r="H469" s="58" t="e">
        <f>((Tablo1[[#This Row],[Esans Fiyat]]/#REF!*Tablo1[[#This Row],[Esans]]*100)+(#REF!/1000*Tablo1[[#This Row],[Su]]*100)+(#REF!/1000*Tablo1[[#This Row],[Alkol]]*100))*(#REF!/100)+#REF!</f>
        <v>#REF!</v>
      </c>
      <c r="I469" s="5" t="s">
        <v>776</v>
      </c>
      <c r="J469" s="52" t="e">
        <f>#REF!*Tablo1[[#This Row],[Esans]]</f>
        <v>#REF!</v>
      </c>
      <c r="K469" s="52" t="e">
        <f>#REF!*Tablo1[[#This Row],[Su]]</f>
        <v>#REF!</v>
      </c>
      <c r="L469" s="52" t="e">
        <f>#REF!*Tablo1[[#This Row],[Alkol]]</f>
        <v>#REF!</v>
      </c>
      <c r="M469" s="45"/>
      <c r="N469" s="52">
        <f>(Tablo1[[#This Row],[KALAN ESANS]]/Tablo1[[#This Row],[Esans]]*0.01)*(Tablo1[[#This Row],[Alkol]]*100)</f>
        <v>0</v>
      </c>
      <c r="O469" s="52">
        <f>(Tablo1[[#This Row],[KALAN ESANS]]/Tablo1[[#This Row],[Esans]]*0.01)*(Tablo1[[#This Row],[Su]]*100)</f>
        <v>0</v>
      </c>
      <c r="P469" s="52">
        <f>Tablo1[[#This Row],[KALAN ESANS]]+Tablo1[[#This Row],[ALKOL Mik]]+Tablo1[[#This Row],[SU Mik]]</f>
        <v>0</v>
      </c>
    </row>
    <row r="470" spans="1:16" ht="15" customHeight="1" x14ac:dyDescent="0.2">
      <c r="A470" s="19" t="s">
        <v>281</v>
      </c>
      <c r="B470" s="42"/>
      <c r="C470" s="2">
        <v>0.2</v>
      </c>
      <c r="D470" s="2">
        <v>0.02</v>
      </c>
      <c r="E470" s="8">
        <f t="shared" si="7"/>
        <v>0.78</v>
      </c>
      <c r="F470" s="5" t="s">
        <v>25</v>
      </c>
      <c r="G470" s="18" t="s">
        <v>769</v>
      </c>
      <c r="H470" s="58" t="e">
        <f>((Tablo1[[#This Row],[Esans Fiyat]]/#REF!*Tablo1[[#This Row],[Esans]]*100)+(#REF!/1000*Tablo1[[#This Row],[Su]]*100)+(#REF!/1000*Tablo1[[#This Row],[Alkol]]*100))*(#REF!/100)+#REF!</f>
        <v>#REF!</v>
      </c>
      <c r="I470" s="5" t="s">
        <v>776</v>
      </c>
      <c r="J470" s="52" t="e">
        <f>#REF!*Tablo1[[#This Row],[Esans]]</f>
        <v>#REF!</v>
      </c>
      <c r="K470" s="52" t="e">
        <f>#REF!*Tablo1[[#This Row],[Su]]</f>
        <v>#REF!</v>
      </c>
      <c r="L470" s="52" t="e">
        <f>#REF!*Tablo1[[#This Row],[Alkol]]</f>
        <v>#REF!</v>
      </c>
      <c r="M470" s="45"/>
      <c r="N470" s="52">
        <f>(Tablo1[[#This Row],[KALAN ESANS]]/Tablo1[[#This Row],[Esans]]*0.01)*(Tablo1[[#This Row],[Alkol]]*100)</f>
        <v>0</v>
      </c>
      <c r="O470" s="52">
        <f>(Tablo1[[#This Row],[KALAN ESANS]]/Tablo1[[#This Row],[Esans]]*0.01)*(Tablo1[[#This Row],[Su]]*100)</f>
        <v>0</v>
      </c>
      <c r="P470" s="52">
        <f>Tablo1[[#This Row],[KALAN ESANS]]+Tablo1[[#This Row],[ALKOL Mik]]+Tablo1[[#This Row],[SU Mik]]</f>
        <v>0</v>
      </c>
    </row>
    <row r="471" spans="1:16" ht="15" customHeight="1" x14ac:dyDescent="0.2">
      <c r="A471" s="19" t="s">
        <v>323</v>
      </c>
      <c r="B471" s="42"/>
      <c r="C471" s="2">
        <v>0.2</v>
      </c>
      <c r="D471" s="2">
        <v>0.02</v>
      </c>
      <c r="E471" s="8">
        <f t="shared" si="7"/>
        <v>0.78</v>
      </c>
      <c r="F471" s="5" t="s">
        <v>25</v>
      </c>
      <c r="G471" s="18" t="s">
        <v>769</v>
      </c>
      <c r="H471" s="58" t="e">
        <f>((Tablo1[[#This Row],[Esans Fiyat]]/#REF!*Tablo1[[#This Row],[Esans]]*100)+(#REF!/1000*Tablo1[[#This Row],[Su]]*100)+(#REF!/1000*Tablo1[[#This Row],[Alkol]]*100))*(#REF!/100)+#REF!</f>
        <v>#REF!</v>
      </c>
      <c r="I471" s="5" t="s">
        <v>776</v>
      </c>
      <c r="J471" s="52" t="e">
        <f>#REF!*Tablo1[[#This Row],[Esans]]</f>
        <v>#REF!</v>
      </c>
      <c r="K471" s="52" t="e">
        <f>#REF!*Tablo1[[#This Row],[Su]]</f>
        <v>#REF!</v>
      </c>
      <c r="L471" s="52" t="e">
        <f>#REF!*Tablo1[[#This Row],[Alkol]]</f>
        <v>#REF!</v>
      </c>
      <c r="M471" s="45"/>
      <c r="N471" s="52">
        <f>(Tablo1[[#This Row],[KALAN ESANS]]/Tablo1[[#This Row],[Esans]]*0.01)*(Tablo1[[#This Row],[Alkol]]*100)</f>
        <v>0</v>
      </c>
      <c r="O471" s="52">
        <f>(Tablo1[[#This Row],[KALAN ESANS]]/Tablo1[[#This Row],[Esans]]*0.01)*(Tablo1[[#This Row],[Su]]*100)</f>
        <v>0</v>
      </c>
      <c r="P471" s="52">
        <f>Tablo1[[#This Row],[KALAN ESANS]]+Tablo1[[#This Row],[ALKOL Mik]]+Tablo1[[#This Row],[SU Mik]]</f>
        <v>0</v>
      </c>
    </row>
    <row r="472" spans="1:16" ht="15" customHeight="1" x14ac:dyDescent="0.2">
      <c r="A472" s="19" t="s">
        <v>321</v>
      </c>
      <c r="B472" s="42"/>
      <c r="C472" s="2">
        <v>0.15</v>
      </c>
      <c r="D472" s="2">
        <v>0.02</v>
      </c>
      <c r="E472" s="8">
        <f t="shared" si="7"/>
        <v>0.83</v>
      </c>
      <c r="F472" s="5" t="s">
        <v>28</v>
      </c>
      <c r="G472" s="18" t="s">
        <v>769</v>
      </c>
      <c r="H472" s="58" t="e">
        <f>((Tablo1[[#This Row],[Esans Fiyat]]/#REF!*Tablo1[[#This Row],[Esans]]*100)+(#REF!/1000*Tablo1[[#This Row],[Su]]*100)+(#REF!/1000*Tablo1[[#This Row],[Alkol]]*100))*(#REF!/100)+#REF!</f>
        <v>#REF!</v>
      </c>
      <c r="I472" s="5" t="s">
        <v>776</v>
      </c>
      <c r="J472" s="52" t="e">
        <f>#REF!*Tablo1[[#This Row],[Esans]]</f>
        <v>#REF!</v>
      </c>
      <c r="K472" s="52" t="e">
        <f>#REF!*Tablo1[[#This Row],[Su]]</f>
        <v>#REF!</v>
      </c>
      <c r="L472" s="52" t="e">
        <f>#REF!*Tablo1[[#This Row],[Alkol]]</f>
        <v>#REF!</v>
      </c>
      <c r="M472" s="45"/>
      <c r="N472" s="52">
        <f>(Tablo1[[#This Row],[KALAN ESANS]]/Tablo1[[#This Row],[Esans]]*0.01)*(Tablo1[[#This Row],[Alkol]]*100)</f>
        <v>0</v>
      </c>
      <c r="O472" s="52">
        <f>(Tablo1[[#This Row],[KALAN ESANS]]/Tablo1[[#This Row],[Esans]]*0.01)*(Tablo1[[#This Row],[Su]]*100)</f>
        <v>0</v>
      </c>
      <c r="P472" s="52">
        <f>Tablo1[[#This Row],[KALAN ESANS]]+Tablo1[[#This Row],[ALKOL Mik]]+Tablo1[[#This Row],[SU Mik]]</f>
        <v>0</v>
      </c>
    </row>
    <row r="473" spans="1:16" ht="15" customHeight="1" x14ac:dyDescent="0.2">
      <c r="A473" s="19" t="s">
        <v>319</v>
      </c>
      <c r="B473" s="42"/>
      <c r="C473" s="2">
        <v>0.15</v>
      </c>
      <c r="D473" s="2">
        <v>0.02</v>
      </c>
      <c r="E473" s="8">
        <f t="shared" si="7"/>
        <v>0.83</v>
      </c>
      <c r="F473" s="5" t="s">
        <v>28</v>
      </c>
      <c r="G473" s="18" t="s">
        <v>769</v>
      </c>
      <c r="H473" s="58" t="e">
        <f>((Tablo1[[#This Row],[Esans Fiyat]]/#REF!*Tablo1[[#This Row],[Esans]]*100)+(#REF!/1000*Tablo1[[#This Row],[Su]]*100)+(#REF!/1000*Tablo1[[#This Row],[Alkol]]*100))*(#REF!/100)+#REF!</f>
        <v>#REF!</v>
      </c>
      <c r="I473" s="5" t="s">
        <v>776</v>
      </c>
      <c r="J473" s="52" t="e">
        <f>#REF!*Tablo1[[#This Row],[Esans]]</f>
        <v>#REF!</v>
      </c>
      <c r="K473" s="52" t="e">
        <f>#REF!*Tablo1[[#This Row],[Su]]</f>
        <v>#REF!</v>
      </c>
      <c r="L473" s="52" t="e">
        <f>#REF!*Tablo1[[#This Row],[Alkol]]</f>
        <v>#REF!</v>
      </c>
      <c r="M473" s="45"/>
      <c r="N473" s="52">
        <f>(Tablo1[[#This Row],[KALAN ESANS]]/Tablo1[[#This Row],[Esans]]*0.01)*(Tablo1[[#This Row],[Alkol]]*100)</f>
        <v>0</v>
      </c>
      <c r="O473" s="52">
        <f>(Tablo1[[#This Row],[KALAN ESANS]]/Tablo1[[#This Row],[Esans]]*0.01)*(Tablo1[[#This Row],[Su]]*100)</f>
        <v>0</v>
      </c>
      <c r="P473" s="52">
        <f>Tablo1[[#This Row],[KALAN ESANS]]+Tablo1[[#This Row],[ALKOL Mik]]+Tablo1[[#This Row],[SU Mik]]</f>
        <v>0</v>
      </c>
    </row>
    <row r="474" spans="1:16" ht="15" customHeight="1" x14ac:dyDescent="0.2">
      <c r="A474" s="19" t="s">
        <v>320</v>
      </c>
      <c r="B474" s="42"/>
      <c r="C474" s="2">
        <v>0.15</v>
      </c>
      <c r="D474" s="2">
        <v>0</v>
      </c>
      <c r="E474" s="8">
        <f t="shared" si="7"/>
        <v>0.85</v>
      </c>
      <c r="F474" s="5" t="s">
        <v>28</v>
      </c>
      <c r="G474" s="18" t="s">
        <v>769</v>
      </c>
      <c r="H474" s="58" t="e">
        <f>((Tablo1[[#This Row],[Esans Fiyat]]/#REF!*Tablo1[[#This Row],[Esans]]*100)+(#REF!/1000*Tablo1[[#This Row],[Su]]*100)+(#REF!/1000*Tablo1[[#This Row],[Alkol]]*100))*(#REF!/100)+#REF!</f>
        <v>#REF!</v>
      </c>
      <c r="I474" s="5" t="s">
        <v>776</v>
      </c>
      <c r="J474" s="52" t="e">
        <f>#REF!*Tablo1[[#This Row],[Esans]]</f>
        <v>#REF!</v>
      </c>
      <c r="K474" s="52" t="e">
        <f>#REF!*Tablo1[[#This Row],[Su]]</f>
        <v>#REF!</v>
      </c>
      <c r="L474" s="52" t="e">
        <f>#REF!*Tablo1[[#This Row],[Alkol]]</f>
        <v>#REF!</v>
      </c>
      <c r="M474" s="45"/>
      <c r="N474" s="52">
        <f>(Tablo1[[#This Row],[KALAN ESANS]]/Tablo1[[#This Row],[Esans]]*0.01)*(Tablo1[[#This Row],[Alkol]]*100)</f>
        <v>0</v>
      </c>
      <c r="O474" s="52">
        <f>(Tablo1[[#This Row],[KALAN ESANS]]/Tablo1[[#This Row],[Esans]]*0.01)*(Tablo1[[#This Row],[Su]]*100)</f>
        <v>0</v>
      </c>
      <c r="P474" s="52">
        <f>Tablo1[[#This Row],[KALAN ESANS]]+Tablo1[[#This Row],[ALKOL Mik]]+Tablo1[[#This Row],[SU Mik]]</f>
        <v>0</v>
      </c>
    </row>
    <row r="475" spans="1:16" ht="15" customHeight="1" x14ac:dyDescent="0.2">
      <c r="A475" s="19" t="s">
        <v>279</v>
      </c>
      <c r="B475" s="42"/>
      <c r="C475" s="2">
        <v>0.25</v>
      </c>
      <c r="D475" s="2">
        <v>0.02</v>
      </c>
      <c r="E475" s="8">
        <f t="shared" si="7"/>
        <v>0.73</v>
      </c>
      <c r="F475" s="5" t="s">
        <v>779</v>
      </c>
      <c r="G475" s="18" t="s">
        <v>769</v>
      </c>
      <c r="H475" s="58" t="e">
        <f>((Tablo1[[#This Row],[Esans Fiyat]]/#REF!*Tablo1[[#This Row],[Esans]]*100)+(#REF!/1000*Tablo1[[#This Row],[Su]]*100)+(#REF!/1000*Tablo1[[#This Row],[Alkol]]*100))*(#REF!/100)+#REF!</f>
        <v>#REF!</v>
      </c>
      <c r="I475" s="5" t="s">
        <v>774</v>
      </c>
      <c r="J475" s="52" t="e">
        <f>#REF!*Tablo1[[#This Row],[Esans]]</f>
        <v>#REF!</v>
      </c>
      <c r="K475" s="52" t="e">
        <f>#REF!*Tablo1[[#This Row],[Su]]</f>
        <v>#REF!</v>
      </c>
      <c r="L475" s="52" t="e">
        <f>#REF!*Tablo1[[#This Row],[Alkol]]</f>
        <v>#REF!</v>
      </c>
      <c r="M475" s="45"/>
      <c r="N475" s="52">
        <f>(Tablo1[[#This Row],[KALAN ESANS]]/Tablo1[[#This Row],[Esans]]*0.01)*(Tablo1[[#This Row],[Alkol]]*100)</f>
        <v>0</v>
      </c>
      <c r="O475" s="52">
        <f>(Tablo1[[#This Row],[KALAN ESANS]]/Tablo1[[#This Row],[Esans]]*0.01)*(Tablo1[[#This Row],[Su]]*100)</f>
        <v>0</v>
      </c>
      <c r="P475" s="52">
        <f>Tablo1[[#This Row],[KALAN ESANS]]+Tablo1[[#This Row],[ALKOL Mik]]+Tablo1[[#This Row],[SU Mik]]</f>
        <v>0</v>
      </c>
    </row>
    <row r="476" spans="1:16" ht="15" customHeight="1" x14ac:dyDescent="0.2">
      <c r="A476" s="19" t="s">
        <v>318</v>
      </c>
      <c r="B476" s="42"/>
      <c r="C476" s="2">
        <v>0.2</v>
      </c>
      <c r="D476" s="2">
        <v>0.02</v>
      </c>
      <c r="E476" s="8">
        <f t="shared" si="7"/>
        <v>0.78</v>
      </c>
      <c r="F476" s="5" t="s">
        <v>25</v>
      </c>
      <c r="G476" s="18" t="s">
        <v>769</v>
      </c>
      <c r="H476" s="58" t="e">
        <f>((Tablo1[[#This Row],[Esans Fiyat]]/#REF!*Tablo1[[#This Row],[Esans]]*100)+(#REF!/1000*Tablo1[[#This Row],[Su]]*100)+(#REF!/1000*Tablo1[[#This Row],[Alkol]]*100))*(#REF!/100)+#REF!</f>
        <v>#REF!</v>
      </c>
      <c r="I476" s="5" t="s">
        <v>776</v>
      </c>
      <c r="J476" s="52" t="e">
        <f>#REF!*Tablo1[[#This Row],[Esans]]</f>
        <v>#REF!</v>
      </c>
      <c r="K476" s="52" t="e">
        <f>#REF!*Tablo1[[#This Row],[Su]]</f>
        <v>#REF!</v>
      </c>
      <c r="L476" s="52" t="e">
        <f>#REF!*Tablo1[[#This Row],[Alkol]]</f>
        <v>#REF!</v>
      </c>
      <c r="M476" s="45"/>
      <c r="N476" s="52">
        <f>(Tablo1[[#This Row],[KALAN ESANS]]/Tablo1[[#This Row],[Esans]]*0.01)*(Tablo1[[#This Row],[Alkol]]*100)</f>
        <v>0</v>
      </c>
      <c r="O476" s="52">
        <f>(Tablo1[[#This Row],[KALAN ESANS]]/Tablo1[[#This Row],[Esans]]*0.01)*(Tablo1[[#This Row],[Su]]*100)</f>
        <v>0</v>
      </c>
      <c r="P476" s="52">
        <f>Tablo1[[#This Row],[KALAN ESANS]]+Tablo1[[#This Row],[ALKOL Mik]]+Tablo1[[#This Row],[SU Mik]]</f>
        <v>0</v>
      </c>
    </row>
    <row r="477" spans="1:16" ht="15" customHeight="1" x14ac:dyDescent="0.2">
      <c r="A477" s="19" t="s">
        <v>315</v>
      </c>
      <c r="B477" s="42"/>
      <c r="C477" s="2">
        <v>0.2</v>
      </c>
      <c r="D477" s="2">
        <v>0.02</v>
      </c>
      <c r="E477" s="8">
        <f t="shared" si="7"/>
        <v>0.78</v>
      </c>
      <c r="F477" s="5" t="s">
        <v>25</v>
      </c>
      <c r="G477" s="18" t="s">
        <v>769</v>
      </c>
      <c r="H477" s="58" t="e">
        <f>((Tablo1[[#This Row],[Esans Fiyat]]/#REF!*Tablo1[[#This Row],[Esans]]*100)+(#REF!/1000*Tablo1[[#This Row],[Su]]*100)+(#REF!/1000*Tablo1[[#This Row],[Alkol]]*100))*(#REF!/100)+#REF!</f>
        <v>#REF!</v>
      </c>
      <c r="I477" s="5" t="s">
        <v>776</v>
      </c>
      <c r="J477" s="52" t="e">
        <f>#REF!*Tablo1[[#This Row],[Esans]]</f>
        <v>#REF!</v>
      </c>
      <c r="K477" s="52" t="e">
        <f>#REF!*Tablo1[[#This Row],[Su]]</f>
        <v>#REF!</v>
      </c>
      <c r="L477" s="52" t="e">
        <f>#REF!*Tablo1[[#This Row],[Alkol]]</f>
        <v>#REF!</v>
      </c>
      <c r="M477" s="45"/>
      <c r="N477" s="52">
        <f>(Tablo1[[#This Row],[KALAN ESANS]]/Tablo1[[#This Row],[Esans]]*0.01)*(Tablo1[[#This Row],[Alkol]]*100)</f>
        <v>0</v>
      </c>
      <c r="O477" s="52">
        <f>(Tablo1[[#This Row],[KALAN ESANS]]/Tablo1[[#This Row],[Esans]]*0.01)*(Tablo1[[#This Row],[Su]]*100)</f>
        <v>0</v>
      </c>
      <c r="P477" s="52">
        <f>Tablo1[[#This Row],[KALAN ESANS]]+Tablo1[[#This Row],[ALKOL Mik]]+Tablo1[[#This Row],[SU Mik]]</f>
        <v>0</v>
      </c>
    </row>
    <row r="478" spans="1:16" ht="15" customHeight="1" x14ac:dyDescent="0.2">
      <c r="A478" s="19" t="s">
        <v>317</v>
      </c>
      <c r="B478" s="42"/>
      <c r="C478" s="2">
        <v>0.18</v>
      </c>
      <c r="D478" s="2">
        <v>0.02</v>
      </c>
      <c r="E478" s="8">
        <f t="shared" si="7"/>
        <v>0.8</v>
      </c>
      <c r="F478" s="5" t="s">
        <v>25</v>
      </c>
      <c r="G478" s="18" t="s">
        <v>769</v>
      </c>
      <c r="H478" s="58" t="e">
        <f>((Tablo1[[#This Row],[Esans Fiyat]]/#REF!*Tablo1[[#This Row],[Esans]]*100)+(#REF!/1000*Tablo1[[#This Row],[Su]]*100)+(#REF!/1000*Tablo1[[#This Row],[Alkol]]*100))*(#REF!/100)+#REF!</f>
        <v>#REF!</v>
      </c>
      <c r="I478" s="5" t="s">
        <v>772</v>
      </c>
      <c r="J478" s="52" t="e">
        <f>#REF!*Tablo1[[#This Row],[Esans]]</f>
        <v>#REF!</v>
      </c>
      <c r="K478" s="52" t="e">
        <f>#REF!*Tablo1[[#This Row],[Su]]</f>
        <v>#REF!</v>
      </c>
      <c r="L478" s="52" t="e">
        <f>#REF!*Tablo1[[#This Row],[Alkol]]</f>
        <v>#REF!</v>
      </c>
      <c r="M478" s="45"/>
      <c r="N478" s="52">
        <f>(Tablo1[[#This Row],[KALAN ESANS]]/Tablo1[[#This Row],[Esans]]*0.01)*(Tablo1[[#This Row],[Alkol]]*100)</f>
        <v>0</v>
      </c>
      <c r="O478" s="52">
        <f>(Tablo1[[#This Row],[KALAN ESANS]]/Tablo1[[#This Row],[Esans]]*0.01)*(Tablo1[[#This Row],[Su]]*100)</f>
        <v>0</v>
      </c>
      <c r="P478" s="52">
        <f>Tablo1[[#This Row],[KALAN ESANS]]+Tablo1[[#This Row],[ALKOL Mik]]+Tablo1[[#This Row],[SU Mik]]</f>
        <v>0</v>
      </c>
    </row>
    <row r="479" spans="1:16" ht="15" customHeight="1" x14ac:dyDescent="0.2">
      <c r="A479" s="19" t="s">
        <v>316</v>
      </c>
      <c r="B479" s="42"/>
      <c r="C479" s="2">
        <v>0.2</v>
      </c>
      <c r="D479" s="2">
        <v>0.02</v>
      </c>
      <c r="E479" s="8">
        <f t="shared" si="7"/>
        <v>0.78</v>
      </c>
      <c r="F479" s="5" t="s">
        <v>25</v>
      </c>
      <c r="G479" s="18" t="s">
        <v>769</v>
      </c>
      <c r="H479" s="58" t="e">
        <f>((Tablo1[[#This Row],[Esans Fiyat]]/#REF!*Tablo1[[#This Row],[Esans]]*100)+(#REF!/1000*Tablo1[[#This Row],[Su]]*100)+(#REF!/1000*Tablo1[[#This Row],[Alkol]]*100))*(#REF!/100)+#REF!</f>
        <v>#REF!</v>
      </c>
      <c r="I479" s="5" t="s">
        <v>772</v>
      </c>
      <c r="J479" s="52" t="e">
        <f>#REF!*Tablo1[[#This Row],[Esans]]</f>
        <v>#REF!</v>
      </c>
      <c r="K479" s="52" t="e">
        <f>#REF!*Tablo1[[#This Row],[Su]]</f>
        <v>#REF!</v>
      </c>
      <c r="L479" s="52" t="e">
        <f>#REF!*Tablo1[[#This Row],[Alkol]]</f>
        <v>#REF!</v>
      </c>
      <c r="M479" s="45"/>
      <c r="N479" s="52">
        <f>(Tablo1[[#This Row],[KALAN ESANS]]/Tablo1[[#This Row],[Esans]]*0.01)*(Tablo1[[#This Row],[Alkol]]*100)</f>
        <v>0</v>
      </c>
      <c r="O479" s="52">
        <f>(Tablo1[[#This Row],[KALAN ESANS]]/Tablo1[[#This Row],[Esans]]*0.01)*(Tablo1[[#This Row],[Su]]*100)</f>
        <v>0</v>
      </c>
      <c r="P479" s="52">
        <f>Tablo1[[#This Row],[KALAN ESANS]]+Tablo1[[#This Row],[ALKOL Mik]]+Tablo1[[#This Row],[SU Mik]]</f>
        <v>0</v>
      </c>
    </row>
    <row r="480" spans="1:16" ht="15" customHeight="1" x14ac:dyDescent="0.2">
      <c r="A480" s="19" t="s">
        <v>314</v>
      </c>
      <c r="B480" s="42"/>
      <c r="C480" s="2">
        <v>0.18</v>
      </c>
      <c r="D480" s="2">
        <v>0.02</v>
      </c>
      <c r="E480" s="8">
        <f t="shared" si="7"/>
        <v>0.8</v>
      </c>
      <c r="F480" s="5" t="s">
        <v>25</v>
      </c>
      <c r="G480" s="18" t="s">
        <v>769</v>
      </c>
      <c r="H480" s="58" t="e">
        <f>((Tablo1[[#This Row],[Esans Fiyat]]/#REF!*Tablo1[[#This Row],[Esans]]*100)+(#REF!/1000*Tablo1[[#This Row],[Su]]*100)+(#REF!/1000*Tablo1[[#This Row],[Alkol]]*100))*(#REF!/100)+#REF!</f>
        <v>#REF!</v>
      </c>
      <c r="I480" s="5" t="s">
        <v>772</v>
      </c>
      <c r="J480" s="52" t="e">
        <f>#REF!*Tablo1[[#This Row],[Esans]]</f>
        <v>#REF!</v>
      </c>
      <c r="K480" s="52" t="e">
        <f>#REF!*Tablo1[[#This Row],[Su]]</f>
        <v>#REF!</v>
      </c>
      <c r="L480" s="52" t="e">
        <f>#REF!*Tablo1[[#This Row],[Alkol]]</f>
        <v>#REF!</v>
      </c>
      <c r="M480" s="45"/>
      <c r="N480" s="52">
        <f>(Tablo1[[#This Row],[KALAN ESANS]]/Tablo1[[#This Row],[Esans]]*0.01)*(Tablo1[[#This Row],[Alkol]]*100)</f>
        <v>0</v>
      </c>
      <c r="O480" s="52">
        <f>(Tablo1[[#This Row],[KALAN ESANS]]/Tablo1[[#This Row],[Esans]]*0.01)*(Tablo1[[#This Row],[Su]]*100)</f>
        <v>0</v>
      </c>
      <c r="P480" s="52">
        <f>Tablo1[[#This Row],[KALAN ESANS]]+Tablo1[[#This Row],[ALKOL Mik]]+Tablo1[[#This Row],[SU Mik]]</f>
        <v>0</v>
      </c>
    </row>
    <row r="481" spans="1:16" ht="15" customHeight="1" x14ac:dyDescent="0.2">
      <c r="A481" s="19" t="s">
        <v>313</v>
      </c>
      <c r="B481" s="42"/>
      <c r="C481" s="2">
        <v>0.2</v>
      </c>
      <c r="D481" s="2">
        <v>0.02</v>
      </c>
      <c r="E481" s="8">
        <f t="shared" si="7"/>
        <v>0.78</v>
      </c>
      <c r="F481" s="5" t="s">
        <v>25</v>
      </c>
      <c r="G481" s="18" t="s">
        <v>769</v>
      </c>
      <c r="H481" s="58" t="e">
        <f>((Tablo1[[#This Row],[Esans Fiyat]]/#REF!*Tablo1[[#This Row],[Esans]]*100)+(#REF!/1000*Tablo1[[#This Row],[Su]]*100)+(#REF!/1000*Tablo1[[#This Row],[Alkol]]*100))*(#REF!/100)+#REF!</f>
        <v>#REF!</v>
      </c>
      <c r="I481" s="5" t="s">
        <v>778</v>
      </c>
      <c r="J481" s="52" t="e">
        <f>#REF!*Tablo1[[#This Row],[Esans]]</f>
        <v>#REF!</v>
      </c>
      <c r="K481" s="52" t="e">
        <f>#REF!*Tablo1[[#This Row],[Su]]</f>
        <v>#REF!</v>
      </c>
      <c r="L481" s="52" t="e">
        <f>#REF!*Tablo1[[#This Row],[Alkol]]</f>
        <v>#REF!</v>
      </c>
      <c r="M481" s="45"/>
      <c r="N481" s="52">
        <f>(Tablo1[[#This Row],[KALAN ESANS]]/Tablo1[[#This Row],[Esans]]*0.01)*(Tablo1[[#This Row],[Alkol]]*100)</f>
        <v>0</v>
      </c>
      <c r="O481" s="52">
        <f>(Tablo1[[#This Row],[KALAN ESANS]]/Tablo1[[#This Row],[Esans]]*0.01)*(Tablo1[[#This Row],[Su]]*100)</f>
        <v>0</v>
      </c>
      <c r="P481" s="52">
        <f>Tablo1[[#This Row],[KALAN ESANS]]+Tablo1[[#This Row],[ALKOL Mik]]+Tablo1[[#This Row],[SU Mik]]</f>
        <v>0</v>
      </c>
    </row>
    <row r="482" spans="1:16" ht="15" customHeight="1" x14ac:dyDescent="0.2">
      <c r="A482" s="19" t="s">
        <v>312</v>
      </c>
      <c r="B482" s="42"/>
      <c r="C482" s="2">
        <v>0.18</v>
      </c>
      <c r="D482" s="2">
        <v>0.02</v>
      </c>
      <c r="E482" s="8">
        <f t="shared" si="7"/>
        <v>0.8</v>
      </c>
      <c r="F482" s="5" t="s">
        <v>25</v>
      </c>
      <c r="G482" s="18" t="s">
        <v>769</v>
      </c>
      <c r="H482" s="58" t="e">
        <f>((Tablo1[[#This Row],[Esans Fiyat]]/#REF!*Tablo1[[#This Row],[Esans]]*100)+(#REF!/1000*Tablo1[[#This Row],[Su]]*100)+(#REF!/1000*Tablo1[[#This Row],[Alkol]]*100))*(#REF!/100)+#REF!</f>
        <v>#REF!</v>
      </c>
      <c r="I482" s="5" t="s">
        <v>772</v>
      </c>
      <c r="J482" s="52" t="e">
        <f>#REF!*Tablo1[[#This Row],[Esans]]</f>
        <v>#REF!</v>
      </c>
      <c r="K482" s="52" t="e">
        <f>#REF!*Tablo1[[#This Row],[Su]]</f>
        <v>#REF!</v>
      </c>
      <c r="L482" s="52" t="e">
        <f>#REF!*Tablo1[[#This Row],[Alkol]]</f>
        <v>#REF!</v>
      </c>
      <c r="M482" s="45"/>
      <c r="N482" s="52">
        <f>(Tablo1[[#This Row],[KALAN ESANS]]/Tablo1[[#This Row],[Esans]]*0.01)*(Tablo1[[#This Row],[Alkol]]*100)</f>
        <v>0</v>
      </c>
      <c r="O482" s="52">
        <f>(Tablo1[[#This Row],[KALAN ESANS]]/Tablo1[[#This Row],[Esans]]*0.01)*(Tablo1[[#This Row],[Su]]*100)</f>
        <v>0</v>
      </c>
      <c r="P482" s="52">
        <f>Tablo1[[#This Row],[KALAN ESANS]]+Tablo1[[#This Row],[ALKOL Mik]]+Tablo1[[#This Row],[SU Mik]]</f>
        <v>0</v>
      </c>
    </row>
    <row r="483" spans="1:16" ht="15" customHeight="1" x14ac:dyDescent="0.2">
      <c r="A483" s="19" t="s">
        <v>311</v>
      </c>
      <c r="B483" s="42"/>
      <c r="C483" s="2">
        <v>0.17</v>
      </c>
      <c r="D483" s="2">
        <v>0.02</v>
      </c>
      <c r="E483" s="8">
        <f t="shared" si="7"/>
        <v>0.80999999999999994</v>
      </c>
      <c r="F483" s="5" t="s">
        <v>25</v>
      </c>
      <c r="G483" s="18" t="s">
        <v>769</v>
      </c>
      <c r="H483" s="58" t="e">
        <f>((Tablo1[[#This Row],[Esans Fiyat]]/#REF!*Tablo1[[#This Row],[Esans]]*100)+(#REF!/1000*Tablo1[[#This Row],[Su]]*100)+(#REF!/1000*Tablo1[[#This Row],[Alkol]]*100))*(#REF!/100)+#REF!</f>
        <v>#REF!</v>
      </c>
      <c r="I483" s="5" t="s">
        <v>772</v>
      </c>
      <c r="J483" s="52" t="e">
        <f>#REF!*Tablo1[[#This Row],[Esans]]</f>
        <v>#REF!</v>
      </c>
      <c r="K483" s="52" t="e">
        <f>#REF!*Tablo1[[#This Row],[Su]]</f>
        <v>#REF!</v>
      </c>
      <c r="L483" s="52" t="e">
        <f>#REF!*Tablo1[[#This Row],[Alkol]]</f>
        <v>#REF!</v>
      </c>
      <c r="M483" s="45"/>
      <c r="N483" s="52">
        <f>(Tablo1[[#This Row],[KALAN ESANS]]/Tablo1[[#This Row],[Esans]]*0.01)*(Tablo1[[#This Row],[Alkol]]*100)</f>
        <v>0</v>
      </c>
      <c r="O483" s="52">
        <f>(Tablo1[[#This Row],[KALAN ESANS]]/Tablo1[[#This Row],[Esans]]*0.01)*(Tablo1[[#This Row],[Su]]*100)</f>
        <v>0</v>
      </c>
      <c r="P483" s="52">
        <f>Tablo1[[#This Row],[KALAN ESANS]]+Tablo1[[#This Row],[ALKOL Mik]]+Tablo1[[#This Row],[SU Mik]]</f>
        <v>0</v>
      </c>
    </row>
    <row r="484" spans="1:16" ht="15" customHeight="1" x14ac:dyDescent="0.2">
      <c r="A484" s="19" t="s">
        <v>310</v>
      </c>
      <c r="B484" s="42"/>
      <c r="C484" s="2">
        <v>0.2</v>
      </c>
      <c r="D484" s="2">
        <v>0.02</v>
      </c>
      <c r="E484" s="8">
        <f t="shared" si="7"/>
        <v>0.78</v>
      </c>
      <c r="F484" s="5" t="s">
        <v>25</v>
      </c>
      <c r="G484" s="18" t="s">
        <v>769</v>
      </c>
      <c r="H484" s="58" t="e">
        <f>((Tablo1[[#This Row],[Esans Fiyat]]/#REF!*Tablo1[[#This Row],[Esans]]*100)+(#REF!/1000*Tablo1[[#This Row],[Su]]*100)+(#REF!/1000*Tablo1[[#This Row],[Alkol]]*100))*(#REF!/100)+#REF!</f>
        <v>#REF!</v>
      </c>
      <c r="I484" s="5" t="s">
        <v>776</v>
      </c>
      <c r="J484" s="52" t="e">
        <f>#REF!*Tablo1[[#This Row],[Esans]]</f>
        <v>#REF!</v>
      </c>
      <c r="K484" s="52" t="e">
        <f>#REF!*Tablo1[[#This Row],[Su]]</f>
        <v>#REF!</v>
      </c>
      <c r="L484" s="52" t="e">
        <f>#REF!*Tablo1[[#This Row],[Alkol]]</f>
        <v>#REF!</v>
      </c>
      <c r="M484" s="45"/>
      <c r="N484" s="52">
        <f>(Tablo1[[#This Row],[KALAN ESANS]]/Tablo1[[#This Row],[Esans]]*0.01)*(Tablo1[[#This Row],[Alkol]]*100)</f>
        <v>0</v>
      </c>
      <c r="O484" s="52">
        <f>(Tablo1[[#This Row],[KALAN ESANS]]/Tablo1[[#This Row],[Esans]]*0.01)*(Tablo1[[#This Row],[Su]]*100)</f>
        <v>0</v>
      </c>
      <c r="P484" s="52">
        <f>Tablo1[[#This Row],[KALAN ESANS]]+Tablo1[[#This Row],[ALKOL Mik]]+Tablo1[[#This Row],[SU Mik]]</f>
        <v>0</v>
      </c>
    </row>
    <row r="485" spans="1:16" ht="15" customHeight="1" x14ac:dyDescent="0.2">
      <c r="A485" s="19" t="s">
        <v>309</v>
      </c>
      <c r="B485" s="42"/>
      <c r="C485" s="2">
        <v>0.2</v>
      </c>
      <c r="D485" s="2">
        <v>0.02</v>
      </c>
      <c r="E485" s="8">
        <f t="shared" si="7"/>
        <v>0.78</v>
      </c>
      <c r="F485" s="5" t="s">
        <v>25</v>
      </c>
      <c r="G485" s="18" t="s">
        <v>769</v>
      </c>
      <c r="H485" s="58" t="e">
        <f>((Tablo1[[#This Row],[Esans Fiyat]]/#REF!*Tablo1[[#This Row],[Esans]]*100)+(#REF!/1000*Tablo1[[#This Row],[Su]]*100)+(#REF!/1000*Tablo1[[#This Row],[Alkol]]*100))*(#REF!/100)+#REF!</f>
        <v>#REF!</v>
      </c>
      <c r="I485" s="5" t="s">
        <v>776</v>
      </c>
      <c r="J485" s="52" t="e">
        <f>#REF!*Tablo1[[#This Row],[Esans]]</f>
        <v>#REF!</v>
      </c>
      <c r="K485" s="52" t="e">
        <f>#REF!*Tablo1[[#This Row],[Su]]</f>
        <v>#REF!</v>
      </c>
      <c r="L485" s="52" t="e">
        <f>#REF!*Tablo1[[#This Row],[Alkol]]</f>
        <v>#REF!</v>
      </c>
      <c r="M485" s="45"/>
      <c r="N485" s="52">
        <f>(Tablo1[[#This Row],[KALAN ESANS]]/Tablo1[[#This Row],[Esans]]*0.01)*(Tablo1[[#This Row],[Alkol]]*100)</f>
        <v>0</v>
      </c>
      <c r="O485" s="52">
        <f>(Tablo1[[#This Row],[KALAN ESANS]]/Tablo1[[#This Row],[Esans]]*0.01)*(Tablo1[[#This Row],[Su]]*100)</f>
        <v>0</v>
      </c>
      <c r="P485" s="52">
        <f>Tablo1[[#This Row],[KALAN ESANS]]+Tablo1[[#This Row],[ALKOL Mik]]+Tablo1[[#This Row],[SU Mik]]</f>
        <v>0</v>
      </c>
    </row>
    <row r="486" spans="1:16" ht="15" customHeight="1" x14ac:dyDescent="0.2">
      <c r="A486" s="19" t="s">
        <v>308</v>
      </c>
      <c r="B486" s="42"/>
      <c r="C486" s="2">
        <v>0.2</v>
      </c>
      <c r="D486" s="2">
        <v>0.02</v>
      </c>
      <c r="E486" s="8">
        <f t="shared" si="7"/>
        <v>0.78</v>
      </c>
      <c r="F486" s="5" t="s">
        <v>25</v>
      </c>
      <c r="G486" s="18" t="s">
        <v>769</v>
      </c>
      <c r="H486" s="58" t="e">
        <f>((Tablo1[[#This Row],[Esans Fiyat]]/#REF!*Tablo1[[#This Row],[Esans]]*100)+(#REF!/1000*Tablo1[[#This Row],[Su]]*100)+(#REF!/1000*Tablo1[[#This Row],[Alkol]]*100))*(#REF!/100)+#REF!</f>
        <v>#REF!</v>
      </c>
      <c r="I486" s="5" t="s">
        <v>776</v>
      </c>
      <c r="J486" s="52" t="e">
        <f>#REF!*Tablo1[[#This Row],[Esans]]</f>
        <v>#REF!</v>
      </c>
      <c r="K486" s="52" t="e">
        <f>#REF!*Tablo1[[#This Row],[Su]]</f>
        <v>#REF!</v>
      </c>
      <c r="L486" s="52" t="e">
        <f>#REF!*Tablo1[[#This Row],[Alkol]]</f>
        <v>#REF!</v>
      </c>
      <c r="M486" s="45"/>
      <c r="N486" s="52">
        <f>(Tablo1[[#This Row],[KALAN ESANS]]/Tablo1[[#This Row],[Esans]]*0.01)*(Tablo1[[#This Row],[Alkol]]*100)</f>
        <v>0</v>
      </c>
      <c r="O486" s="52">
        <f>(Tablo1[[#This Row],[KALAN ESANS]]/Tablo1[[#This Row],[Esans]]*0.01)*(Tablo1[[#This Row],[Su]]*100)</f>
        <v>0</v>
      </c>
      <c r="P486" s="52">
        <f>Tablo1[[#This Row],[KALAN ESANS]]+Tablo1[[#This Row],[ALKOL Mik]]+Tablo1[[#This Row],[SU Mik]]</f>
        <v>0</v>
      </c>
    </row>
    <row r="487" spans="1:16" ht="15" customHeight="1" x14ac:dyDescent="0.2">
      <c r="A487" s="19" t="s">
        <v>3</v>
      </c>
      <c r="B487" s="42"/>
      <c r="C487" s="2">
        <v>0.22</v>
      </c>
      <c r="D487" s="2">
        <v>0.02</v>
      </c>
      <c r="E487" s="8">
        <f t="shared" si="7"/>
        <v>0.76</v>
      </c>
      <c r="F487" s="5" t="s">
        <v>25</v>
      </c>
      <c r="G487" s="18" t="s">
        <v>769</v>
      </c>
      <c r="H487" s="58" t="e">
        <f>((Tablo1[[#This Row],[Esans Fiyat]]/#REF!*Tablo1[[#This Row],[Esans]]*100)+(#REF!/1000*Tablo1[[#This Row],[Su]]*100)+(#REF!/1000*Tablo1[[#This Row],[Alkol]]*100))*(#REF!/100)+#REF!</f>
        <v>#REF!</v>
      </c>
      <c r="I487" s="5" t="s">
        <v>782</v>
      </c>
      <c r="J487" s="52" t="e">
        <f>#REF!*Tablo1[[#This Row],[Esans]]</f>
        <v>#REF!</v>
      </c>
      <c r="K487" s="52" t="e">
        <f>#REF!*Tablo1[[#This Row],[Su]]</f>
        <v>#REF!</v>
      </c>
      <c r="L487" s="52" t="e">
        <f>#REF!*Tablo1[[#This Row],[Alkol]]</f>
        <v>#REF!</v>
      </c>
      <c r="M487" s="45"/>
      <c r="N487" s="52">
        <f>(Tablo1[[#This Row],[KALAN ESANS]]/Tablo1[[#This Row],[Esans]]*0.01)*(Tablo1[[#This Row],[Alkol]]*100)</f>
        <v>0</v>
      </c>
      <c r="O487" s="52">
        <f>(Tablo1[[#This Row],[KALAN ESANS]]/Tablo1[[#This Row],[Esans]]*0.01)*(Tablo1[[#This Row],[Su]]*100)</f>
        <v>0</v>
      </c>
      <c r="P487" s="52">
        <f>Tablo1[[#This Row],[KALAN ESANS]]+Tablo1[[#This Row],[ALKOL Mik]]+Tablo1[[#This Row],[SU Mik]]</f>
        <v>0</v>
      </c>
    </row>
    <row r="488" spans="1:16" ht="15" customHeight="1" x14ac:dyDescent="0.2">
      <c r="A488" s="19" t="s">
        <v>307</v>
      </c>
      <c r="B488" s="42"/>
      <c r="C488" s="2">
        <v>0.2</v>
      </c>
      <c r="D488" s="2">
        <v>0.02</v>
      </c>
      <c r="E488" s="8">
        <f t="shared" si="7"/>
        <v>0.78</v>
      </c>
      <c r="F488" s="5" t="s">
        <v>25</v>
      </c>
      <c r="G488" s="18" t="s">
        <v>769</v>
      </c>
      <c r="H488" s="58" t="e">
        <f>((Tablo1[[#This Row],[Esans Fiyat]]/#REF!*Tablo1[[#This Row],[Esans]]*100)+(#REF!/1000*Tablo1[[#This Row],[Su]]*100)+(#REF!/1000*Tablo1[[#This Row],[Alkol]]*100))*(#REF!/100)+#REF!</f>
        <v>#REF!</v>
      </c>
      <c r="I488" s="5" t="s">
        <v>772</v>
      </c>
      <c r="J488" s="52" t="e">
        <f>#REF!*Tablo1[[#This Row],[Esans]]</f>
        <v>#REF!</v>
      </c>
      <c r="K488" s="52" t="e">
        <f>#REF!*Tablo1[[#This Row],[Su]]</f>
        <v>#REF!</v>
      </c>
      <c r="L488" s="52" t="e">
        <f>#REF!*Tablo1[[#This Row],[Alkol]]</f>
        <v>#REF!</v>
      </c>
      <c r="M488" s="45"/>
      <c r="N488" s="52">
        <f>(Tablo1[[#This Row],[KALAN ESANS]]/Tablo1[[#This Row],[Esans]]*0.01)*(Tablo1[[#This Row],[Alkol]]*100)</f>
        <v>0</v>
      </c>
      <c r="O488" s="52">
        <f>(Tablo1[[#This Row],[KALAN ESANS]]/Tablo1[[#This Row],[Esans]]*0.01)*(Tablo1[[#This Row],[Su]]*100)</f>
        <v>0</v>
      </c>
      <c r="P488" s="52">
        <f>Tablo1[[#This Row],[KALAN ESANS]]+Tablo1[[#This Row],[ALKOL Mik]]+Tablo1[[#This Row],[SU Mik]]</f>
        <v>0</v>
      </c>
    </row>
    <row r="489" spans="1:16" ht="15" customHeight="1" x14ac:dyDescent="0.2">
      <c r="A489" s="19" t="s">
        <v>306</v>
      </c>
      <c r="B489" s="42"/>
      <c r="C489" s="2">
        <v>0.15</v>
      </c>
      <c r="D489" s="2">
        <v>0.02</v>
      </c>
      <c r="E489" s="8">
        <f t="shared" si="7"/>
        <v>0.83</v>
      </c>
      <c r="F489" s="5" t="s">
        <v>28</v>
      </c>
      <c r="G489" s="18" t="s">
        <v>769</v>
      </c>
      <c r="H489" s="58" t="e">
        <f>((Tablo1[[#This Row],[Esans Fiyat]]/#REF!*Tablo1[[#This Row],[Esans]]*100)+(#REF!/1000*Tablo1[[#This Row],[Su]]*100)+(#REF!/1000*Tablo1[[#This Row],[Alkol]]*100))*(#REF!/100)+#REF!</f>
        <v>#REF!</v>
      </c>
      <c r="I489" s="5" t="s">
        <v>776</v>
      </c>
      <c r="J489" s="52" t="e">
        <f>#REF!*Tablo1[[#This Row],[Esans]]</f>
        <v>#REF!</v>
      </c>
      <c r="K489" s="52" t="e">
        <f>#REF!*Tablo1[[#This Row],[Su]]</f>
        <v>#REF!</v>
      </c>
      <c r="L489" s="52" t="e">
        <f>#REF!*Tablo1[[#This Row],[Alkol]]</f>
        <v>#REF!</v>
      </c>
      <c r="M489" s="45"/>
      <c r="N489" s="52">
        <f>(Tablo1[[#This Row],[KALAN ESANS]]/Tablo1[[#This Row],[Esans]]*0.01)*(Tablo1[[#This Row],[Alkol]]*100)</f>
        <v>0</v>
      </c>
      <c r="O489" s="52">
        <f>(Tablo1[[#This Row],[KALAN ESANS]]/Tablo1[[#This Row],[Esans]]*0.01)*(Tablo1[[#This Row],[Su]]*100)</f>
        <v>0</v>
      </c>
      <c r="P489" s="52">
        <f>Tablo1[[#This Row],[KALAN ESANS]]+Tablo1[[#This Row],[ALKOL Mik]]+Tablo1[[#This Row],[SU Mik]]</f>
        <v>0</v>
      </c>
    </row>
    <row r="490" spans="1:16" ht="15" customHeight="1" x14ac:dyDescent="0.2">
      <c r="A490" s="19" t="s">
        <v>303</v>
      </c>
      <c r="B490" s="42"/>
      <c r="C490" s="2">
        <v>0.2</v>
      </c>
      <c r="D490" s="2">
        <v>0.02</v>
      </c>
      <c r="E490" s="8">
        <f t="shared" si="7"/>
        <v>0.78</v>
      </c>
      <c r="F490" s="5" t="s">
        <v>25</v>
      </c>
      <c r="G490" s="18" t="s">
        <v>769</v>
      </c>
      <c r="H490" s="58" t="e">
        <f>((Tablo1[[#This Row],[Esans Fiyat]]/#REF!*Tablo1[[#This Row],[Esans]]*100)+(#REF!/1000*Tablo1[[#This Row],[Su]]*100)+(#REF!/1000*Tablo1[[#This Row],[Alkol]]*100))*(#REF!/100)+#REF!</f>
        <v>#REF!</v>
      </c>
      <c r="I490" s="5" t="s">
        <v>776</v>
      </c>
      <c r="J490" s="52" t="e">
        <f>#REF!*Tablo1[[#This Row],[Esans]]</f>
        <v>#REF!</v>
      </c>
      <c r="K490" s="52" t="e">
        <f>#REF!*Tablo1[[#This Row],[Su]]</f>
        <v>#REF!</v>
      </c>
      <c r="L490" s="52" t="e">
        <f>#REF!*Tablo1[[#This Row],[Alkol]]</f>
        <v>#REF!</v>
      </c>
      <c r="M490" s="45"/>
      <c r="N490" s="52">
        <f>(Tablo1[[#This Row],[KALAN ESANS]]/Tablo1[[#This Row],[Esans]]*0.01)*(Tablo1[[#This Row],[Alkol]]*100)</f>
        <v>0</v>
      </c>
      <c r="O490" s="52">
        <f>(Tablo1[[#This Row],[KALAN ESANS]]/Tablo1[[#This Row],[Esans]]*0.01)*(Tablo1[[#This Row],[Su]]*100)</f>
        <v>0</v>
      </c>
      <c r="P490" s="52">
        <f>Tablo1[[#This Row],[KALAN ESANS]]+Tablo1[[#This Row],[ALKOL Mik]]+Tablo1[[#This Row],[SU Mik]]</f>
        <v>0</v>
      </c>
    </row>
    <row r="491" spans="1:16" ht="15" customHeight="1" x14ac:dyDescent="0.2">
      <c r="A491" s="19" t="s">
        <v>304</v>
      </c>
      <c r="B491" s="42"/>
      <c r="C491" s="2">
        <v>0.2</v>
      </c>
      <c r="D491" s="2">
        <v>0.02</v>
      </c>
      <c r="E491" s="8">
        <f t="shared" si="7"/>
        <v>0.78</v>
      </c>
      <c r="F491" s="5" t="s">
        <v>25</v>
      </c>
      <c r="G491" s="18" t="s">
        <v>769</v>
      </c>
      <c r="H491" s="58" t="e">
        <f>((Tablo1[[#This Row],[Esans Fiyat]]/#REF!*Tablo1[[#This Row],[Esans]]*100)+(#REF!/1000*Tablo1[[#This Row],[Su]]*100)+(#REF!/1000*Tablo1[[#This Row],[Alkol]]*100))*(#REF!/100)+#REF!</f>
        <v>#REF!</v>
      </c>
      <c r="I491" s="5" t="s">
        <v>776</v>
      </c>
      <c r="J491" s="52" t="e">
        <f>#REF!*Tablo1[[#This Row],[Esans]]</f>
        <v>#REF!</v>
      </c>
      <c r="K491" s="52" t="e">
        <f>#REF!*Tablo1[[#This Row],[Su]]</f>
        <v>#REF!</v>
      </c>
      <c r="L491" s="52" t="e">
        <f>#REF!*Tablo1[[#This Row],[Alkol]]</f>
        <v>#REF!</v>
      </c>
      <c r="M491" s="45"/>
      <c r="N491" s="52">
        <f>(Tablo1[[#This Row],[KALAN ESANS]]/Tablo1[[#This Row],[Esans]]*0.01)*(Tablo1[[#This Row],[Alkol]]*100)</f>
        <v>0</v>
      </c>
      <c r="O491" s="52">
        <f>(Tablo1[[#This Row],[KALAN ESANS]]/Tablo1[[#This Row],[Esans]]*0.01)*(Tablo1[[#This Row],[Su]]*100)</f>
        <v>0</v>
      </c>
      <c r="P491" s="52">
        <f>Tablo1[[#This Row],[KALAN ESANS]]+Tablo1[[#This Row],[ALKOL Mik]]+Tablo1[[#This Row],[SU Mik]]</f>
        <v>0</v>
      </c>
    </row>
    <row r="492" spans="1:16" ht="15" customHeight="1" x14ac:dyDescent="0.2">
      <c r="A492" s="19" t="s">
        <v>305</v>
      </c>
      <c r="B492" s="42"/>
      <c r="C492" s="2">
        <v>0.2</v>
      </c>
      <c r="D492" s="2">
        <v>0.02</v>
      </c>
      <c r="E492" s="8">
        <f t="shared" si="7"/>
        <v>0.78</v>
      </c>
      <c r="F492" s="5" t="s">
        <v>25</v>
      </c>
      <c r="G492" s="18" t="s">
        <v>769</v>
      </c>
      <c r="H492" s="58" t="e">
        <f>((Tablo1[[#This Row],[Esans Fiyat]]/#REF!*Tablo1[[#This Row],[Esans]]*100)+(#REF!/1000*Tablo1[[#This Row],[Su]]*100)+(#REF!/1000*Tablo1[[#This Row],[Alkol]]*100))*(#REF!/100)+#REF!</f>
        <v>#REF!</v>
      </c>
      <c r="I492" s="5" t="s">
        <v>776</v>
      </c>
      <c r="J492" s="52" t="e">
        <f>#REF!*Tablo1[[#This Row],[Esans]]</f>
        <v>#REF!</v>
      </c>
      <c r="K492" s="52" t="e">
        <f>#REF!*Tablo1[[#This Row],[Su]]</f>
        <v>#REF!</v>
      </c>
      <c r="L492" s="52" t="e">
        <f>#REF!*Tablo1[[#This Row],[Alkol]]</f>
        <v>#REF!</v>
      </c>
      <c r="M492" s="45"/>
      <c r="N492" s="52">
        <f>(Tablo1[[#This Row],[KALAN ESANS]]/Tablo1[[#This Row],[Esans]]*0.01)*(Tablo1[[#This Row],[Alkol]]*100)</f>
        <v>0</v>
      </c>
      <c r="O492" s="52">
        <f>(Tablo1[[#This Row],[KALAN ESANS]]/Tablo1[[#This Row],[Esans]]*0.01)*(Tablo1[[#This Row],[Su]]*100)</f>
        <v>0</v>
      </c>
      <c r="P492" s="52">
        <f>Tablo1[[#This Row],[KALAN ESANS]]+Tablo1[[#This Row],[ALKOL Mik]]+Tablo1[[#This Row],[SU Mik]]</f>
        <v>0</v>
      </c>
    </row>
    <row r="493" spans="1:16" ht="15" customHeight="1" x14ac:dyDescent="0.2">
      <c r="A493" s="19" t="s">
        <v>302</v>
      </c>
      <c r="B493" s="42"/>
      <c r="C493" s="2">
        <v>0.15</v>
      </c>
      <c r="D493" s="2">
        <v>0.02</v>
      </c>
      <c r="E493" s="8">
        <f t="shared" si="7"/>
        <v>0.83</v>
      </c>
      <c r="F493" s="5" t="s">
        <v>28</v>
      </c>
      <c r="G493" s="18" t="s">
        <v>769</v>
      </c>
      <c r="H493" s="58" t="e">
        <f>((Tablo1[[#This Row],[Esans Fiyat]]/#REF!*Tablo1[[#This Row],[Esans]]*100)+(#REF!/1000*Tablo1[[#This Row],[Su]]*100)+(#REF!/1000*Tablo1[[#This Row],[Alkol]]*100))*(#REF!/100)+#REF!</f>
        <v>#REF!</v>
      </c>
      <c r="I493" s="5" t="s">
        <v>776</v>
      </c>
      <c r="J493" s="52" t="e">
        <f>#REF!*Tablo1[[#This Row],[Esans]]</f>
        <v>#REF!</v>
      </c>
      <c r="K493" s="52" t="e">
        <f>#REF!*Tablo1[[#This Row],[Su]]</f>
        <v>#REF!</v>
      </c>
      <c r="L493" s="52" t="e">
        <f>#REF!*Tablo1[[#This Row],[Alkol]]</f>
        <v>#REF!</v>
      </c>
      <c r="M493" s="45"/>
      <c r="N493" s="52">
        <f>(Tablo1[[#This Row],[KALAN ESANS]]/Tablo1[[#This Row],[Esans]]*0.01)*(Tablo1[[#This Row],[Alkol]]*100)</f>
        <v>0</v>
      </c>
      <c r="O493" s="52">
        <f>(Tablo1[[#This Row],[KALAN ESANS]]/Tablo1[[#This Row],[Esans]]*0.01)*(Tablo1[[#This Row],[Su]]*100)</f>
        <v>0</v>
      </c>
      <c r="P493" s="52">
        <f>Tablo1[[#This Row],[KALAN ESANS]]+Tablo1[[#This Row],[ALKOL Mik]]+Tablo1[[#This Row],[SU Mik]]</f>
        <v>0</v>
      </c>
    </row>
    <row r="494" spans="1:16" ht="15" customHeight="1" x14ac:dyDescent="0.2">
      <c r="A494" s="19" t="s">
        <v>1</v>
      </c>
      <c r="B494" s="42"/>
      <c r="C494" s="2">
        <v>0.19</v>
      </c>
      <c r="D494" s="2">
        <v>0.02</v>
      </c>
      <c r="E494" s="8">
        <f t="shared" si="7"/>
        <v>0.79</v>
      </c>
      <c r="F494" s="5" t="s">
        <v>25</v>
      </c>
      <c r="G494" s="18" t="s">
        <v>769</v>
      </c>
      <c r="H494" s="58" t="e">
        <f>((Tablo1[[#This Row],[Esans Fiyat]]/#REF!*Tablo1[[#This Row],[Esans]]*100)+(#REF!/1000*Tablo1[[#This Row],[Su]]*100)+(#REF!/1000*Tablo1[[#This Row],[Alkol]]*100))*(#REF!/100)+#REF!</f>
        <v>#REF!</v>
      </c>
      <c r="I494" s="5" t="s">
        <v>772</v>
      </c>
      <c r="J494" s="52" t="e">
        <f>#REF!*Tablo1[[#This Row],[Esans]]</f>
        <v>#REF!</v>
      </c>
      <c r="K494" s="52" t="e">
        <f>#REF!*Tablo1[[#This Row],[Su]]</f>
        <v>#REF!</v>
      </c>
      <c r="L494" s="52" t="e">
        <f>#REF!*Tablo1[[#This Row],[Alkol]]</f>
        <v>#REF!</v>
      </c>
      <c r="M494" s="45"/>
      <c r="N494" s="52">
        <f>(Tablo1[[#This Row],[KALAN ESANS]]/Tablo1[[#This Row],[Esans]]*0.01)*(Tablo1[[#This Row],[Alkol]]*100)</f>
        <v>0</v>
      </c>
      <c r="O494" s="52">
        <f>(Tablo1[[#This Row],[KALAN ESANS]]/Tablo1[[#This Row],[Esans]]*0.01)*(Tablo1[[#This Row],[Su]]*100)</f>
        <v>0</v>
      </c>
      <c r="P494" s="52">
        <f>Tablo1[[#This Row],[KALAN ESANS]]+Tablo1[[#This Row],[ALKOL Mik]]+Tablo1[[#This Row],[SU Mik]]</f>
        <v>0</v>
      </c>
    </row>
    <row r="495" spans="1:16" ht="15" customHeight="1" x14ac:dyDescent="0.2">
      <c r="A495" s="19" t="s">
        <v>301</v>
      </c>
      <c r="B495" s="42"/>
      <c r="C495" s="2">
        <v>0.2</v>
      </c>
      <c r="D495" s="2">
        <v>0.02</v>
      </c>
      <c r="E495" s="8">
        <f t="shared" si="7"/>
        <v>0.78</v>
      </c>
      <c r="F495" s="5" t="s">
        <v>25</v>
      </c>
      <c r="G495" s="18" t="s">
        <v>769</v>
      </c>
      <c r="H495" s="58" t="e">
        <f>((Tablo1[[#This Row],[Esans Fiyat]]/#REF!*Tablo1[[#This Row],[Esans]]*100)+(#REF!/1000*Tablo1[[#This Row],[Su]]*100)+(#REF!/1000*Tablo1[[#This Row],[Alkol]]*100))*(#REF!/100)+#REF!</f>
        <v>#REF!</v>
      </c>
      <c r="I495" s="5" t="s">
        <v>776</v>
      </c>
      <c r="J495" s="52" t="e">
        <f>#REF!*Tablo1[[#This Row],[Esans]]</f>
        <v>#REF!</v>
      </c>
      <c r="K495" s="52" t="e">
        <f>#REF!*Tablo1[[#This Row],[Su]]</f>
        <v>#REF!</v>
      </c>
      <c r="L495" s="52" t="e">
        <f>#REF!*Tablo1[[#This Row],[Alkol]]</f>
        <v>#REF!</v>
      </c>
      <c r="M495" s="45"/>
      <c r="N495" s="52">
        <f>(Tablo1[[#This Row],[KALAN ESANS]]/Tablo1[[#This Row],[Esans]]*0.01)*(Tablo1[[#This Row],[Alkol]]*100)</f>
        <v>0</v>
      </c>
      <c r="O495" s="52">
        <f>(Tablo1[[#This Row],[KALAN ESANS]]/Tablo1[[#This Row],[Esans]]*0.01)*(Tablo1[[#This Row],[Su]]*100)</f>
        <v>0</v>
      </c>
      <c r="P495" s="52">
        <f>Tablo1[[#This Row],[KALAN ESANS]]+Tablo1[[#This Row],[ALKOL Mik]]+Tablo1[[#This Row],[SU Mik]]</f>
        <v>0</v>
      </c>
    </row>
    <row r="496" spans="1:16" ht="15" customHeight="1" x14ac:dyDescent="0.2">
      <c r="A496" s="19" t="s">
        <v>13</v>
      </c>
      <c r="B496" s="42"/>
      <c r="C496" s="2">
        <v>0.17</v>
      </c>
      <c r="D496" s="2">
        <v>0.02</v>
      </c>
      <c r="E496" s="8">
        <f t="shared" si="7"/>
        <v>0.80999999999999994</v>
      </c>
      <c r="F496" s="5" t="s">
        <v>25</v>
      </c>
      <c r="G496" s="18" t="s">
        <v>769</v>
      </c>
      <c r="H496" s="58" t="e">
        <f>((Tablo1[[#This Row],[Esans Fiyat]]/#REF!*Tablo1[[#This Row],[Esans]]*100)+(#REF!/1000*Tablo1[[#This Row],[Su]]*100)+(#REF!/1000*Tablo1[[#This Row],[Alkol]]*100))*(#REF!/100)+#REF!</f>
        <v>#REF!</v>
      </c>
      <c r="I496" s="5" t="s">
        <v>782</v>
      </c>
      <c r="J496" s="52" t="e">
        <f>#REF!*Tablo1[[#This Row],[Esans]]</f>
        <v>#REF!</v>
      </c>
      <c r="K496" s="52" t="e">
        <f>#REF!*Tablo1[[#This Row],[Su]]</f>
        <v>#REF!</v>
      </c>
      <c r="L496" s="52" t="e">
        <f>#REF!*Tablo1[[#This Row],[Alkol]]</f>
        <v>#REF!</v>
      </c>
      <c r="M496" s="45"/>
      <c r="N496" s="52">
        <f>(Tablo1[[#This Row],[KALAN ESANS]]/Tablo1[[#This Row],[Esans]]*0.01)*(Tablo1[[#This Row],[Alkol]]*100)</f>
        <v>0</v>
      </c>
      <c r="O496" s="52">
        <f>(Tablo1[[#This Row],[KALAN ESANS]]/Tablo1[[#This Row],[Esans]]*0.01)*(Tablo1[[#This Row],[Su]]*100)</f>
        <v>0</v>
      </c>
      <c r="P496" s="52">
        <f>Tablo1[[#This Row],[KALAN ESANS]]+Tablo1[[#This Row],[ALKOL Mik]]+Tablo1[[#This Row],[SU Mik]]</f>
        <v>0</v>
      </c>
    </row>
    <row r="497" spans="1:16" ht="15" customHeight="1" x14ac:dyDescent="0.2">
      <c r="A497" s="19" t="s">
        <v>300</v>
      </c>
      <c r="B497" s="42"/>
      <c r="C497" s="2">
        <v>0.15</v>
      </c>
      <c r="D497" s="2">
        <v>0.02</v>
      </c>
      <c r="E497" s="8">
        <f t="shared" si="7"/>
        <v>0.83</v>
      </c>
      <c r="F497" s="5" t="s">
        <v>28</v>
      </c>
      <c r="G497" s="18" t="s">
        <v>769</v>
      </c>
      <c r="H497" s="58" t="e">
        <f>((Tablo1[[#This Row],[Esans Fiyat]]/#REF!*Tablo1[[#This Row],[Esans]]*100)+(#REF!/1000*Tablo1[[#This Row],[Su]]*100)+(#REF!/1000*Tablo1[[#This Row],[Alkol]]*100))*(#REF!/100)+#REF!</f>
        <v>#REF!</v>
      </c>
      <c r="I497" s="5" t="s">
        <v>776</v>
      </c>
      <c r="J497" s="52" t="e">
        <f>#REF!*Tablo1[[#This Row],[Esans]]</f>
        <v>#REF!</v>
      </c>
      <c r="K497" s="52" t="e">
        <f>#REF!*Tablo1[[#This Row],[Su]]</f>
        <v>#REF!</v>
      </c>
      <c r="L497" s="52" t="e">
        <f>#REF!*Tablo1[[#This Row],[Alkol]]</f>
        <v>#REF!</v>
      </c>
      <c r="M497" s="45"/>
      <c r="N497" s="52">
        <f>(Tablo1[[#This Row],[KALAN ESANS]]/Tablo1[[#This Row],[Esans]]*0.01)*(Tablo1[[#This Row],[Alkol]]*100)</f>
        <v>0</v>
      </c>
      <c r="O497" s="52">
        <f>(Tablo1[[#This Row],[KALAN ESANS]]/Tablo1[[#This Row],[Esans]]*0.01)*(Tablo1[[#This Row],[Su]]*100)</f>
        <v>0</v>
      </c>
      <c r="P497" s="52">
        <f>Tablo1[[#This Row],[KALAN ESANS]]+Tablo1[[#This Row],[ALKOL Mik]]+Tablo1[[#This Row],[SU Mik]]</f>
        <v>0</v>
      </c>
    </row>
    <row r="498" spans="1:16" ht="15" customHeight="1" x14ac:dyDescent="0.2">
      <c r="A498" s="19" t="s">
        <v>299</v>
      </c>
      <c r="B498" s="42"/>
      <c r="C498" s="2">
        <v>0.15</v>
      </c>
      <c r="D498" s="2">
        <v>0.02</v>
      </c>
      <c r="E498" s="8">
        <f t="shared" si="7"/>
        <v>0.83</v>
      </c>
      <c r="F498" s="5" t="s">
        <v>28</v>
      </c>
      <c r="G498" s="18" t="s">
        <v>769</v>
      </c>
      <c r="H498" s="58" t="e">
        <f>((Tablo1[[#This Row],[Esans Fiyat]]/#REF!*Tablo1[[#This Row],[Esans]]*100)+(#REF!/1000*Tablo1[[#This Row],[Su]]*100)+(#REF!/1000*Tablo1[[#This Row],[Alkol]]*100))*(#REF!/100)+#REF!</f>
        <v>#REF!</v>
      </c>
      <c r="I498" s="5" t="s">
        <v>776</v>
      </c>
      <c r="J498" s="52" t="e">
        <f>#REF!*Tablo1[[#This Row],[Esans]]</f>
        <v>#REF!</v>
      </c>
      <c r="K498" s="52" t="e">
        <f>#REF!*Tablo1[[#This Row],[Su]]</f>
        <v>#REF!</v>
      </c>
      <c r="L498" s="52" t="e">
        <f>#REF!*Tablo1[[#This Row],[Alkol]]</f>
        <v>#REF!</v>
      </c>
      <c r="M498" s="45"/>
      <c r="N498" s="52">
        <f>(Tablo1[[#This Row],[KALAN ESANS]]/Tablo1[[#This Row],[Esans]]*0.01)*(Tablo1[[#This Row],[Alkol]]*100)</f>
        <v>0</v>
      </c>
      <c r="O498" s="52">
        <f>(Tablo1[[#This Row],[KALAN ESANS]]/Tablo1[[#This Row],[Esans]]*0.01)*(Tablo1[[#This Row],[Su]]*100)</f>
        <v>0</v>
      </c>
      <c r="P498" s="52">
        <f>Tablo1[[#This Row],[KALAN ESANS]]+Tablo1[[#This Row],[ALKOL Mik]]+Tablo1[[#This Row],[SU Mik]]</f>
        <v>0</v>
      </c>
    </row>
    <row r="499" spans="1:16" ht="15" customHeight="1" x14ac:dyDescent="0.2">
      <c r="A499" s="19" t="s">
        <v>298</v>
      </c>
      <c r="B499" s="42"/>
      <c r="C499" s="2">
        <v>0.2</v>
      </c>
      <c r="D499" s="2">
        <v>0.02</v>
      </c>
      <c r="E499" s="8">
        <f t="shared" si="7"/>
        <v>0.78</v>
      </c>
      <c r="F499" s="5" t="s">
        <v>25</v>
      </c>
      <c r="G499" s="18" t="s">
        <v>769</v>
      </c>
      <c r="H499" s="58" t="e">
        <f>((Tablo1[[#This Row],[Esans Fiyat]]/#REF!*Tablo1[[#This Row],[Esans]]*100)+(#REF!/1000*Tablo1[[#This Row],[Su]]*100)+(#REF!/1000*Tablo1[[#This Row],[Alkol]]*100))*(#REF!/100)+#REF!</f>
        <v>#REF!</v>
      </c>
      <c r="I499" s="5" t="s">
        <v>776</v>
      </c>
      <c r="J499" s="52" t="e">
        <f>#REF!*Tablo1[[#This Row],[Esans]]</f>
        <v>#REF!</v>
      </c>
      <c r="K499" s="52" t="e">
        <f>#REF!*Tablo1[[#This Row],[Su]]</f>
        <v>#REF!</v>
      </c>
      <c r="L499" s="52" t="e">
        <f>#REF!*Tablo1[[#This Row],[Alkol]]</f>
        <v>#REF!</v>
      </c>
      <c r="M499" s="45"/>
      <c r="N499" s="52">
        <f>(Tablo1[[#This Row],[KALAN ESANS]]/Tablo1[[#This Row],[Esans]]*0.01)*(Tablo1[[#This Row],[Alkol]]*100)</f>
        <v>0</v>
      </c>
      <c r="O499" s="52">
        <f>(Tablo1[[#This Row],[KALAN ESANS]]/Tablo1[[#This Row],[Esans]]*0.01)*(Tablo1[[#This Row],[Su]]*100)</f>
        <v>0</v>
      </c>
      <c r="P499" s="52">
        <f>Tablo1[[#This Row],[KALAN ESANS]]+Tablo1[[#This Row],[ALKOL Mik]]+Tablo1[[#This Row],[SU Mik]]</f>
        <v>0</v>
      </c>
    </row>
    <row r="500" spans="1:16" ht="15" customHeight="1" x14ac:dyDescent="0.2">
      <c r="A500" s="19" t="s">
        <v>296</v>
      </c>
      <c r="B500" s="42"/>
      <c r="C500" s="2">
        <v>0.15</v>
      </c>
      <c r="D500" s="2">
        <v>0.02</v>
      </c>
      <c r="E500" s="8">
        <f t="shared" si="7"/>
        <v>0.83</v>
      </c>
      <c r="F500" s="5" t="s">
        <v>28</v>
      </c>
      <c r="G500" s="18" t="s">
        <v>769</v>
      </c>
      <c r="H500" s="58" t="e">
        <f>((Tablo1[[#This Row],[Esans Fiyat]]/#REF!*Tablo1[[#This Row],[Esans]]*100)+(#REF!/1000*Tablo1[[#This Row],[Su]]*100)+(#REF!/1000*Tablo1[[#This Row],[Alkol]]*100))*(#REF!/100)+#REF!</f>
        <v>#REF!</v>
      </c>
      <c r="I500" s="5" t="s">
        <v>776</v>
      </c>
      <c r="J500" s="52" t="e">
        <f>#REF!*Tablo1[[#This Row],[Esans]]</f>
        <v>#REF!</v>
      </c>
      <c r="K500" s="52" t="e">
        <f>#REF!*Tablo1[[#This Row],[Su]]</f>
        <v>#REF!</v>
      </c>
      <c r="L500" s="52" t="e">
        <f>#REF!*Tablo1[[#This Row],[Alkol]]</f>
        <v>#REF!</v>
      </c>
      <c r="M500" s="45"/>
      <c r="N500" s="52">
        <f>(Tablo1[[#This Row],[KALAN ESANS]]/Tablo1[[#This Row],[Esans]]*0.01)*(Tablo1[[#This Row],[Alkol]]*100)</f>
        <v>0</v>
      </c>
      <c r="O500" s="52">
        <f>(Tablo1[[#This Row],[KALAN ESANS]]/Tablo1[[#This Row],[Esans]]*0.01)*(Tablo1[[#This Row],[Su]]*100)</f>
        <v>0</v>
      </c>
      <c r="P500" s="52">
        <f>Tablo1[[#This Row],[KALAN ESANS]]+Tablo1[[#This Row],[ALKOL Mik]]+Tablo1[[#This Row],[SU Mik]]</f>
        <v>0</v>
      </c>
    </row>
    <row r="501" spans="1:16" ht="15" customHeight="1" x14ac:dyDescent="0.2">
      <c r="A501" s="19" t="s">
        <v>297</v>
      </c>
      <c r="B501" s="42"/>
      <c r="C501" s="2">
        <v>0.19</v>
      </c>
      <c r="D501" s="2">
        <v>0.02</v>
      </c>
      <c r="E501" s="8">
        <f t="shared" si="7"/>
        <v>0.79</v>
      </c>
      <c r="F501" s="5" t="s">
        <v>25</v>
      </c>
      <c r="G501" s="18" t="s">
        <v>769</v>
      </c>
      <c r="H501" s="58" t="e">
        <f>((Tablo1[[#This Row],[Esans Fiyat]]/#REF!*Tablo1[[#This Row],[Esans]]*100)+(#REF!/1000*Tablo1[[#This Row],[Su]]*100)+(#REF!/1000*Tablo1[[#This Row],[Alkol]]*100))*(#REF!/100)+#REF!</f>
        <v>#REF!</v>
      </c>
      <c r="I501" s="5" t="s">
        <v>772</v>
      </c>
      <c r="J501" s="52" t="e">
        <f>#REF!*Tablo1[[#This Row],[Esans]]</f>
        <v>#REF!</v>
      </c>
      <c r="K501" s="52" t="e">
        <f>#REF!*Tablo1[[#This Row],[Su]]</f>
        <v>#REF!</v>
      </c>
      <c r="L501" s="52" t="e">
        <f>#REF!*Tablo1[[#This Row],[Alkol]]</f>
        <v>#REF!</v>
      </c>
      <c r="M501" s="45"/>
      <c r="N501" s="52">
        <f>(Tablo1[[#This Row],[KALAN ESANS]]/Tablo1[[#This Row],[Esans]]*0.01)*(Tablo1[[#This Row],[Alkol]]*100)</f>
        <v>0</v>
      </c>
      <c r="O501" s="52">
        <f>(Tablo1[[#This Row],[KALAN ESANS]]/Tablo1[[#This Row],[Esans]]*0.01)*(Tablo1[[#This Row],[Su]]*100)</f>
        <v>0</v>
      </c>
      <c r="P501" s="52">
        <f>Tablo1[[#This Row],[KALAN ESANS]]+Tablo1[[#This Row],[ALKOL Mik]]+Tablo1[[#This Row],[SU Mik]]</f>
        <v>0</v>
      </c>
    </row>
    <row r="502" spans="1:16" ht="15" customHeight="1" x14ac:dyDescent="0.2">
      <c r="A502" s="19" t="s">
        <v>276</v>
      </c>
      <c r="B502" s="42"/>
      <c r="C502" s="2">
        <v>0.2</v>
      </c>
      <c r="D502" s="2">
        <v>0.02</v>
      </c>
      <c r="E502" s="8">
        <f t="shared" si="7"/>
        <v>0.78</v>
      </c>
      <c r="F502" s="5" t="s">
        <v>25</v>
      </c>
      <c r="G502" s="18" t="s">
        <v>769</v>
      </c>
      <c r="H502" s="58" t="e">
        <f>((Tablo1[[#This Row],[Esans Fiyat]]/#REF!*Tablo1[[#This Row],[Esans]]*100)+(#REF!/1000*Tablo1[[#This Row],[Su]]*100)+(#REF!/1000*Tablo1[[#This Row],[Alkol]]*100))*(#REF!/100)+#REF!</f>
        <v>#REF!</v>
      </c>
      <c r="I502" s="5" t="s">
        <v>776</v>
      </c>
      <c r="J502" s="52" t="e">
        <f>#REF!*Tablo1[[#This Row],[Esans]]</f>
        <v>#REF!</v>
      </c>
      <c r="K502" s="52" t="e">
        <f>#REF!*Tablo1[[#This Row],[Su]]</f>
        <v>#REF!</v>
      </c>
      <c r="L502" s="52" t="e">
        <f>#REF!*Tablo1[[#This Row],[Alkol]]</f>
        <v>#REF!</v>
      </c>
      <c r="M502" s="45"/>
      <c r="N502" s="52">
        <f>(Tablo1[[#This Row],[KALAN ESANS]]/Tablo1[[#This Row],[Esans]]*0.01)*(Tablo1[[#This Row],[Alkol]]*100)</f>
        <v>0</v>
      </c>
      <c r="O502" s="52">
        <f>(Tablo1[[#This Row],[KALAN ESANS]]/Tablo1[[#This Row],[Esans]]*0.01)*(Tablo1[[#This Row],[Su]]*100)</f>
        <v>0</v>
      </c>
      <c r="P502" s="52">
        <f>Tablo1[[#This Row],[KALAN ESANS]]+Tablo1[[#This Row],[ALKOL Mik]]+Tablo1[[#This Row],[SU Mik]]</f>
        <v>0</v>
      </c>
    </row>
    <row r="503" spans="1:16" ht="15" customHeight="1" x14ac:dyDescent="0.2">
      <c r="A503" s="19" t="s">
        <v>290</v>
      </c>
      <c r="B503" s="42"/>
      <c r="C503" s="2">
        <v>0.2</v>
      </c>
      <c r="D503" s="2">
        <v>0.02</v>
      </c>
      <c r="E503" s="8">
        <f t="shared" si="7"/>
        <v>0.78</v>
      </c>
      <c r="F503" s="5" t="s">
        <v>25</v>
      </c>
      <c r="G503" s="18" t="s">
        <v>769</v>
      </c>
      <c r="H503" s="58" t="e">
        <f>((Tablo1[[#This Row],[Esans Fiyat]]/#REF!*Tablo1[[#This Row],[Esans]]*100)+(#REF!/1000*Tablo1[[#This Row],[Su]]*100)+(#REF!/1000*Tablo1[[#This Row],[Alkol]]*100))*(#REF!/100)+#REF!</f>
        <v>#REF!</v>
      </c>
      <c r="I503" s="5" t="s">
        <v>776</v>
      </c>
      <c r="J503" s="52" t="e">
        <f>#REF!*Tablo1[[#This Row],[Esans]]</f>
        <v>#REF!</v>
      </c>
      <c r="K503" s="52" t="e">
        <f>#REF!*Tablo1[[#This Row],[Su]]</f>
        <v>#REF!</v>
      </c>
      <c r="L503" s="52" t="e">
        <f>#REF!*Tablo1[[#This Row],[Alkol]]</f>
        <v>#REF!</v>
      </c>
      <c r="M503" s="45"/>
      <c r="N503" s="52">
        <f>(Tablo1[[#This Row],[KALAN ESANS]]/Tablo1[[#This Row],[Esans]]*0.01)*(Tablo1[[#This Row],[Alkol]]*100)</f>
        <v>0</v>
      </c>
      <c r="O503" s="52">
        <f>(Tablo1[[#This Row],[KALAN ESANS]]/Tablo1[[#This Row],[Esans]]*0.01)*(Tablo1[[#This Row],[Su]]*100)</f>
        <v>0</v>
      </c>
      <c r="P503" s="52">
        <f>Tablo1[[#This Row],[KALAN ESANS]]+Tablo1[[#This Row],[ALKOL Mik]]+Tablo1[[#This Row],[SU Mik]]</f>
        <v>0</v>
      </c>
    </row>
    <row r="504" spans="1:16" ht="15" customHeight="1" x14ac:dyDescent="0.2">
      <c r="A504" s="19" t="s">
        <v>295</v>
      </c>
      <c r="B504" s="42"/>
      <c r="C504" s="2">
        <v>0.2</v>
      </c>
      <c r="D504" s="2">
        <v>0.02</v>
      </c>
      <c r="E504" s="8">
        <f t="shared" si="7"/>
        <v>0.78</v>
      </c>
      <c r="F504" s="5" t="s">
        <v>25</v>
      </c>
      <c r="G504" s="18" t="s">
        <v>769</v>
      </c>
      <c r="H504" s="58" t="e">
        <f>((Tablo1[[#This Row],[Esans Fiyat]]/#REF!*Tablo1[[#This Row],[Esans]]*100)+(#REF!/1000*Tablo1[[#This Row],[Su]]*100)+(#REF!/1000*Tablo1[[#This Row],[Alkol]]*100))*(#REF!/100)+#REF!</f>
        <v>#REF!</v>
      </c>
      <c r="I504" s="5" t="s">
        <v>776</v>
      </c>
      <c r="J504" s="52" t="e">
        <f>#REF!*Tablo1[[#This Row],[Esans]]</f>
        <v>#REF!</v>
      </c>
      <c r="K504" s="52" t="e">
        <f>#REF!*Tablo1[[#This Row],[Su]]</f>
        <v>#REF!</v>
      </c>
      <c r="L504" s="52" t="e">
        <f>#REF!*Tablo1[[#This Row],[Alkol]]</f>
        <v>#REF!</v>
      </c>
      <c r="M504" s="45"/>
      <c r="N504" s="52">
        <f>(Tablo1[[#This Row],[KALAN ESANS]]/Tablo1[[#This Row],[Esans]]*0.01)*(Tablo1[[#This Row],[Alkol]]*100)</f>
        <v>0</v>
      </c>
      <c r="O504" s="52">
        <f>(Tablo1[[#This Row],[KALAN ESANS]]/Tablo1[[#This Row],[Esans]]*0.01)*(Tablo1[[#This Row],[Su]]*100)</f>
        <v>0</v>
      </c>
      <c r="P504" s="52">
        <f>Tablo1[[#This Row],[KALAN ESANS]]+Tablo1[[#This Row],[ALKOL Mik]]+Tablo1[[#This Row],[SU Mik]]</f>
        <v>0</v>
      </c>
    </row>
    <row r="505" spans="1:16" ht="15" customHeight="1" x14ac:dyDescent="0.2">
      <c r="A505" s="19" t="s">
        <v>6</v>
      </c>
      <c r="B505" s="42"/>
      <c r="C505" s="2">
        <v>0.2</v>
      </c>
      <c r="D505" s="2">
        <v>0.02</v>
      </c>
      <c r="E505" s="8">
        <f t="shared" si="7"/>
        <v>0.78</v>
      </c>
      <c r="F505" s="5" t="s">
        <v>25</v>
      </c>
      <c r="G505" s="18" t="s">
        <v>769</v>
      </c>
      <c r="H505" s="58" t="e">
        <f>((Tablo1[[#This Row],[Esans Fiyat]]/#REF!*Tablo1[[#This Row],[Esans]]*100)+(#REF!/1000*Tablo1[[#This Row],[Su]]*100)+(#REF!/1000*Tablo1[[#This Row],[Alkol]]*100))*(#REF!/100)+#REF!</f>
        <v>#REF!</v>
      </c>
      <c r="I505" s="5" t="s">
        <v>782</v>
      </c>
      <c r="J505" s="52" t="e">
        <f>#REF!*Tablo1[[#This Row],[Esans]]</f>
        <v>#REF!</v>
      </c>
      <c r="K505" s="52" t="e">
        <f>#REF!*Tablo1[[#This Row],[Su]]</f>
        <v>#REF!</v>
      </c>
      <c r="L505" s="52" t="e">
        <f>#REF!*Tablo1[[#This Row],[Alkol]]</f>
        <v>#REF!</v>
      </c>
      <c r="M505" s="45"/>
      <c r="N505" s="52">
        <f>(Tablo1[[#This Row],[KALAN ESANS]]/Tablo1[[#This Row],[Esans]]*0.01)*(Tablo1[[#This Row],[Alkol]]*100)</f>
        <v>0</v>
      </c>
      <c r="O505" s="52">
        <f>(Tablo1[[#This Row],[KALAN ESANS]]/Tablo1[[#This Row],[Esans]]*0.01)*(Tablo1[[#This Row],[Su]]*100)</f>
        <v>0</v>
      </c>
      <c r="P505" s="52">
        <f>Tablo1[[#This Row],[KALAN ESANS]]+Tablo1[[#This Row],[ALKOL Mik]]+Tablo1[[#This Row],[SU Mik]]</f>
        <v>0</v>
      </c>
    </row>
    <row r="506" spans="1:16" ht="15" customHeight="1" x14ac:dyDescent="0.2">
      <c r="A506" s="19" t="s">
        <v>7</v>
      </c>
      <c r="B506" s="42"/>
      <c r="C506" s="2">
        <v>0.2</v>
      </c>
      <c r="D506" s="2">
        <v>0.02</v>
      </c>
      <c r="E506" s="8">
        <f t="shared" si="7"/>
        <v>0.78</v>
      </c>
      <c r="F506" s="5" t="s">
        <v>25</v>
      </c>
      <c r="G506" s="18" t="s">
        <v>769</v>
      </c>
      <c r="H506" s="58" t="e">
        <f>((Tablo1[[#This Row],[Esans Fiyat]]/#REF!*Tablo1[[#This Row],[Esans]]*100)+(#REF!/1000*Tablo1[[#This Row],[Su]]*100)+(#REF!/1000*Tablo1[[#This Row],[Alkol]]*100))*(#REF!/100)+#REF!</f>
        <v>#REF!</v>
      </c>
      <c r="I506" s="5" t="s">
        <v>776</v>
      </c>
      <c r="J506" s="52" t="e">
        <f>#REF!*Tablo1[[#This Row],[Esans]]</f>
        <v>#REF!</v>
      </c>
      <c r="K506" s="52" t="e">
        <f>#REF!*Tablo1[[#This Row],[Su]]</f>
        <v>#REF!</v>
      </c>
      <c r="L506" s="52" t="e">
        <f>#REF!*Tablo1[[#This Row],[Alkol]]</f>
        <v>#REF!</v>
      </c>
      <c r="M506" s="45"/>
      <c r="N506" s="52">
        <f>(Tablo1[[#This Row],[KALAN ESANS]]/Tablo1[[#This Row],[Esans]]*0.01)*(Tablo1[[#This Row],[Alkol]]*100)</f>
        <v>0</v>
      </c>
      <c r="O506" s="52">
        <f>(Tablo1[[#This Row],[KALAN ESANS]]/Tablo1[[#This Row],[Esans]]*0.01)*(Tablo1[[#This Row],[Su]]*100)</f>
        <v>0</v>
      </c>
      <c r="P506" s="52">
        <f>Tablo1[[#This Row],[KALAN ESANS]]+Tablo1[[#This Row],[ALKOL Mik]]+Tablo1[[#This Row],[SU Mik]]</f>
        <v>0</v>
      </c>
    </row>
    <row r="507" spans="1:16" ht="15" customHeight="1" x14ac:dyDescent="0.2">
      <c r="A507" s="19" t="s">
        <v>294</v>
      </c>
      <c r="B507" s="42"/>
      <c r="C507" s="2">
        <v>0.2</v>
      </c>
      <c r="D507" s="2">
        <v>0.02</v>
      </c>
      <c r="E507" s="8">
        <f t="shared" si="7"/>
        <v>0.78</v>
      </c>
      <c r="F507" s="5" t="s">
        <v>25</v>
      </c>
      <c r="G507" s="18" t="s">
        <v>769</v>
      </c>
      <c r="H507" s="58" t="e">
        <f>((Tablo1[[#This Row],[Esans Fiyat]]/#REF!*Tablo1[[#This Row],[Esans]]*100)+(#REF!/1000*Tablo1[[#This Row],[Su]]*100)+(#REF!/1000*Tablo1[[#This Row],[Alkol]]*100))*(#REF!/100)+#REF!</f>
        <v>#REF!</v>
      </c>
      <c r="I507" s="5" t="s">
        <v>776</v>
      </c>
      <c r="J507" s="52" t="e">
        <f>#REF!*Tablo1[[#This Row],[Esans]]</f>
        <v>#REF!</v>
      </c>
      <c r="K507" s="52" t="e">
        <f>#REF!*Tablo1[[#This Row],[Su]]</f>
        <v>#REF!</v>
      </c>
      <c r="L507" s="52" t="e">
        <f>#REF!*Tablo1[[#This Row],[Alkol]]</f>
        <v>#REF!</v>
      </c>
      <c r="M507" s="45"/>
      <c r="N507" s="52">
        <f>(Tablo1[[#This Row],[KALAN ESANS]]/Tablo1[[#This Row],[Esans]]*0.01)*(Tablo1[[#This Row],[Alkol]]*100)</f>
        <v>0</v>
      </c>
      <c r="O507" s="52">
        <f>(Tablo1[[#This Row],[KALAN ESANS]]/Tablo1[[#This Row],[Esans]]*0.01)*(Tablo1[[#This Row],[Su]]*100)</f>
        <v>0</v>
      </c>
      <c r="P507" s="52">
        <f>Tablo1[[#This Row],[KALAN ESANS]]+Tablo1[[#This Row],[ALKOL Mik]]+Tablo1[[#This Row],[SU Mik]]</f>
        <v>0</v>
      </c>
    </row>
    <row r="508" spans="1:16" ht="15" customHeight="1" x14ac:dyDescent="0.2">
      <c r="A508" s="19" t="s">
        <v>293</v>
      </c>
      <c r="B508" s="42"/>
      <c r="C508" s="2">
        <v>0.2</v>
      </c>
      <c r="D508" s="2">
        <v>0.02</v>
      </c>
      <c r="E508" s="8">
        <f t="shared" si="7"/>
        <v>0.78</v>
      </c>
      <c r="F508" s="5" t="s">
        <v>25</v>
      </c>
      <c r="G508" s="18" t="s">
        <v>769</v>
      </c>
      <c r="H508" s="58" t="e">
        <f>((Tablo1[[#This Row],[Esans Fiyat]]/#REF!*Tablo1[[#This Row],[Esans]]*100)+(#REF!/1000*Tablo1[[#This Row],[Su]]*100)+(#REF!/1000*Tablo1[[#This Row],[Alkol]]*100))*(#REF!/100)+#REF!</f>
        <v>#REF!</v>
      </c>
      <c r="I508" s="5" t="s">
        <v>776</v>
      </c>
      <c r="J508" s="52" t="e">
        <f>#REF!*Tablo1[[#This Row],[Esans]]</f>
        <v>#REF!</v>
      </c>
      <c r="K508" s="52" t="e">
        <f>#REF!*Tablo1[[#This Row],[Su]]</f>
        <v>#REF!</v>
      </c>
      <c r="L508" s="52" t="e">
        <f>#REF!*Tablo1[[#This Row],[Alkol]]</f>
        <v>#REF!</v>
      </c>
      <c r="M508" s="45"/>
      <c r="N508" s="52">
        <f>(Tablo1[[#This Row],[KALAN ESANS]]/Tablo1[[#This Row],[Esans]]*0.01)*(Tablo1[[#This Row],[Alkol]]*100)</f>
        <v>0</v>
      </c>
      <c r="O508" s="52">
        <f>(Tablo1[[#This Row],[KALAN ESANS]]/Tablo1[[#This Row],[Esans]]*0.01)*(Tablo1[[#This Row],[Su]]*100)</f>
        <v>0</v>
      </c>
      <c r="P508" s="52">
        <f>Tablo1[[#This Row],[KALAN ESANS]]+Tablo1[[#This Row],[ALKOL Mik]]+Tablo1[[#This Row],[SU Mik]]</f>
        <v>0</v>
      </c>
    </row>
    <row r="509" spans="1:16" ht="15" customHeight="1" x14ac:dyDescent="0.2">
      <c r="A509" s="19" t="s">
        <v>292</v>
      </c>
      <c r="B509" s="42"/>
      <c r="C509" s="2">
        <v>0.2</v>
      </c>
      <c r="D509" s="2">
        <v>0.02</v>
      </c>
      <c r="E509" s="8">
        <f t="shared" si="7"/>
        <v>0.78</v>
      </c>
      <c r="F509" s="5" t="s">
        <v>25</v>
      </c>
      <c r="G509" s="18" t="s">
        <v>769</v>
      </c>
      <c r="H509" s="58" t="e">
        <f>((Tablo1[[#This Row],[Esans Fiyat]]/#REF!*Tablo1[[#This Row],[Esans]]*100)+(#REF!/1000*Tablo1[[#This Row],[Su]]*100)+(#REF!/1000*Tablo1[[#This Row],[Alkol]]*100))*(#REF!/100)+#REF!</f>
        <v>#REF!</v>
      </c>
      <c r="I509" s="5" t="s">
        <v>776</v>
      </c>
      <c r="J509" s="52" t="e">
        <f>#REF!*Tablo1[[#This Row],[Esans]]</f>
        <v>#REF!</v>
      </c>
      <c r="K509" s="52" t="e">
        <f>#REF!*Tablo1[[#This Row],[Su]]</f>
        <v>#REF!</v>
      </c>
      <c r="L509" s="52" t="e">
        <f>#REF!*Tablo1[[#This Row],[Alkol]]</f>
        <v>#REF!</v>
      </c>
      <c r="M509" s="45"/>
      <c r="N509" s="52">
        <f>(Tablo1[[#This Row],[KALAN ESANS]]/Tablo1[[#This Row],[Esans]]*0.01)*(Tablo1[[#This Row],[Alkol]]*100)</f>
        <v>0</v>
      </c>
      <c r="O509" s="52">
        <f>(Tablo1[[#This Row],[KALAN ESANS]]/Tablo1[[#This Row],[Esans]]*0.01)*(Tablo1[[#This Row],[Su]]*100)</f>
        <v>0</v>
      </c>
      <c r="P509" s="52">
        <f>Tablo1[[#This Row],[KALAN ESANS]]+Tablo1[[#This Row],[ALKOL Mik]]+Tablo1[[#This Row],[SU Mik]]</f>
        <v>0</v>
      </c>
    </row>
    <row r="510" spans="1:16" ht="15" customHeight="1" x14ac:dyDescent="0.2">
      <c r="A510" s="19" t="s">
        <v>291</v>
      </c>
      <c r="B510" s="42"/>
      <c r="C510" s="2">
        <v>0.2</v>
      </c>
      <c r="D510" s="2">
        <v>0.02</v>
      </c>
      <c r="E510" s="8">
        <f t="shared" si="7"/>
        <v>0.78</v>
      </c>
      <c r="F510" s="5" t="s">
        <v>25</v>
      </c>
      <c r="G510" s="18" t="s">
        <v>769</v>
      </c>
      <c r="H510" s="58" t="e">
        <f>((Tablo1[[#This Row],[Esans Fiyat]]/#REF!*Tablo1[[#This Row],[Esans]]*100)+(#REF!/1000*Tablo1[[#This Row],[Su]]*100)+(#REF!/1000*Tablo1[[#This Row],[Alkol]]*100))*(#REF!/100)+#REF!</f>
        <v>#REF!</v>
      </c>
      <c r="I510" s="5" t="s">
        <v>776</v>
      </c>
      <c r="J510" s="52" t="e">
        <f>#REF!*Tablo1[[#This Row],[Esans]]</f>
        <v>#REF!</v>
      </c>
      <c r="K510" s="52" t="e">
        <f>#REF!*Tablo1[[#This Row],[Su]]</f>
        <v>#REF!</v>
      </c>
      <c r="L510" s="52" t="e">
        <f>#REF!*Tablo1[[#This Row],[Alkol]]</f>
        <v>#REF!</v>
      </c>
      <c r="M510" s="45"/>
      <c r="N510" s="52">
        <f>(Tablo1[[#This Row],[KALAN ESANS]]/Tablo1[[#This Row],[Esans]]*0.01)*(Tablo1[[#This Row],[Alkol]]*100)</f>
        <v>0</v>
      </c>
      <c r="O510" s="52">
        <f>(Tablo1[[#This Row],[KALAN ESANS]]/Tablo1[[#This Row],[Esans]]*0.01)*(Tablo1[[#This Row],[Su]]*100)</f>
        <v>0</v>
      </c>
      <c r="P510" s="52">
        <f>Tablo1[[#This Row],[KALAN ESANS]]+Tablo1[[#This Row],[ALKOL Mik]]+Tablo1[[#This Row],[SU Mik]]</f>
        <v>0</v>
      </c>
    </row>
    <row r="511" spans="1:16" ht="15" customHeight="1" x14ac:dyDescent="0.2">
      <c r="A511" s="19" t="s">
        <v>275</v>
      </c>
      <c r="B511" s="42"/>
      <c r="C511" s="2">
        <v>0.17</v>
      </c>
      <c r="D511" s="2">
        <v>0.02</v>
      </c>
      <c r="E511" s="8">
        <f t="shared" si="7"/>
        <v>0.80999999999999994</v>
      </c>
      <c r="F511" s="5" t="s">
        <v>25</v>
      </c>
      <c r="G511" s="18" t="s">
        <v>769</v>
      </c>
      <c r="H511" s="58" t="e">
        <f>((Tablo1[[#This Row],[Esans Fiyat]]/#REF!*Tablo1[[#This Row],[Esans]]*100)+(#REF!/1000*Tablo1[[#This Row],[Su]]*100)+(#REF!/1000*Tablo1[[#This Row],[Alkol]]*100))*(#REF!/100)+#REF!</f>
        <v>#REF!</v>
      </c>
      <c r="I511" s="5" t="s">
        <v>772</v>
      </c>
      <c r="J511" s="52" t="e">
        <f>#REF!*Tablo1[[#This Row],[Esans]]</f>
        <v>#REF!</v>
      </c>
      <c r="K511" s="52" t="e">
        <f>#REF!*Tablo1[[#This Row],[Su]]</f>
        <v>#REF!</v>
      </c>
      <c r="L511" s="52" t="e">
        <f>#REF!*Tablo1[[#This Row],[Alkol]]</f>
        <v>#REF!</v>
      </c>
      <c r="M511" s="45"/>
      <c r="N511" s="52">
        <f>(Tablo1[[#This Row],[KALAN ESANS]]/Tablo1[[#This Row],[Esans]]*0.01)*(Tablo1[[#This Row],[Alkol]]*100)</f>
        <v>0</v>
      </c>
      <c r="O511" s="52">
        <f>(Tablo1[[#This Row],[KALAN ESANS]]/Tablo1[[#This Row],[Esans]]*0.01)*(Tablo1[[#This Row],[Su]]*100)</f>
        <v>0</v>
      </c>
      <c r="P511" s="52">
        <f>Tablo1[[#This Row],[KALAN ESANS]]+Tablo1[[#This Row],[ALKOL Mik]]+Tablo1[[#This Row],[SU Mik]]</f>
        <v>0</v>
      </c>
    </row>
    <row r="512" spans="1:16" ht="15" customHeight="1" x14ac:dyDescent="0.2">
      <c r="A512" s="19" t="s">
        <v>274</v>
      </c>
      <c r="B512" s="42"/>
      <c r="C512" s="2">
        <v>0.2</v>
      </c>
      <c r="D512" s="2">
        <v>0.02</v>
      </c>
      <c r="E512" s="8">
        <f t="shared" si="7"/>
        <v>0.78</v>
      </c>
      <c r="F512" s="5" t="s">
        <v>25</v>
      </c>
      <c r="G512" s="18" t="s">
        <v>769</v>
      </c>
      <c r="H512" s="58" t="e">
        <f>((Tablo1[[#This Row],[Esans Fiyat]]/#REF!*Tablo1[[#This Row],[Esans]]*100)+(#REF!/1000*Tablo1[[#This Row],[Su]]*100)+(#REF!/1000*Tablo1[[#This Row],[Alkol]]*100))*(#REF!/100)+#REF!</f>
        <v>#REF!</v>
      </c>
      <c r="I512" s="5" t="s">
        <v>776</v>
      </c>
      <c r="J512" s="52" t="e">
        <f>#REF!*Tablo1[[#This Row],[Esans]]</f>
        <v>#REF!</v>
      </c>
      <c r="K512" s="52" t="e">
        <f>#REF!*Tablo1[[#This Row],[Su]]</f>
        <v>#REF!</v>
      </c>
      <c r="L512" s="52" t="e">
        <f>#REF!*Tablo1[[#This Row],[Alkol]]</f>
        <v>#REF!</v>
      </c>
      <c r="M512" s="45"/>
      <c r="N512" s="52">
        <f>(Tablo1[[#This Row],[KALAN ESANS]]/Tablo1[[#This Row],[Esans]]*0.01)*(Tablo1[[#This Row],[Alkol]]*100)</f>
        <v>0</v>
      </c>
      <c r="O512" s="52">
        <f>(Tablo1[[#This Row],[KALAN ESANS]]/Tablo1[[#This Row],[Esans]]*0.01)*(Tablo1[[#This Row],[Su]]*100)</f>
        <v>0</v>
      </c>
      <c r="P512" s="52">
        <f>Tablo1[[#This Row],[KALAN ESANS]]+Tablo1[[#This Row],[ALKOL Mik]]+Tablo1[[#This Row],[SU Mik]]</f>
        <v>0</v>
      </c>
    </row>
    <row r="513" spans="1:16" ht="15" customHeight="1" x14ac:dyDescent="0.2">
      <c r="A513" s="19" t="s">
        <v>273</v>
      </c>
      <c r="B513" s="42"/>
      <c r="C513" s="2">
        <v>0.2</v>
      </c>
      <c r="D513" s="2">
        <v>0.02</v>
      </c>
      <c r="E513" s="8">
        <f t="shared" si="7"/>
        <v>0.78</v>
      </c>
      <c r="F513" s="5" t="s">
        <v>25</v>
      </c>
      <c r="G513" s="18" t="s">
        <v>769</v>
      </c>
      <c r="H513" s="58" t="e">
        <f>((Tablo1[[#This Row],[Esans Fiyat]]/#REF!*Tablo1[[#This Row],[Esans]]*100)+(#REF!/1000*Tablo1[[#This Row],[Su]]*100)+(#REF!/1000*Tablo1[[#This Row],[Alkol]]*100))*(#REF!/100)+#REF!</f>
        <v>#REF!</v>
      </c>
      <c r="I513" s="5" t="s">
        <v>776</v>
      </c>
      <c r="J513" s="52" t="e">
        <f>#REF!*Tablo1[[#This Row],[Esans]]</f>
        <v>#REF!</v>
      </c>
      <c r="K513" s="52" t="e">
        <f>#REF!*Tablo1[[#This Row],[Su]]</f>
        <v>#REF!</v>
      </c>
      <c r="L513" s="52" t="e">
        <f>#REF!*Tablo1[[#This Row],[Alkol]]</f>
        <v>#REF!</v>
      </c>
      <c r="M513" s="45"/>
      <c r="N513" s="52">
        <f>(Tablo1[[#This Row],[KALAN ESANS]]/Tablo1[[#This Row],[Esans]]*0.01)*(Tablo1[[#This Row],[Alkol]]*100)</f>
        <v>0</v>
      </c>
      <c r="O513" s="52">
        <f>(Tablo1[[#This Row],[KALAN ESANS]]/Tablo1[[#This Row],[Esans]]*0.01)*(Tablo1[[#This Row],[Su]]*100)</f>
        <v>0</v>
      </c>
      <c r="P513" s="52">
        <f>Tablo1[[#This Row],[KALAN ESANS]]+Tablo1[[#This Row],[ALKOL Mik]]+Tablo1[[#This Row],[SU Mik]]</f>
        <v>0</v>
      </c>
    </row>
    <row r="514" spans="1:16" ht="15" customHeight="1" x14ac:dyDescent="0.2">
      <c r="A514" s="19" t="s">
        <v>261</v>
      </c>
      <c r="B514" s="42"/>
      <c r="C514" s="2">
        <v>0.2</v>
      </c>
      <c r="D514" s="2">
        <v>0.02</v>
      </c>
      <c r="E514" s="8">
        <f t="shared" si="7"/>
        <v>0.78</v>
      </c>
      <c r="F514" s="5" t="s">
        <v>25</v>
      </c>
      <c r="G514" s="18" t="s">
        <v>769</v>
      </c>
      <c r="H514" s="58" t="e">
        <f>((Tablo1[[#This Row],[Esans Fiyat]]/#REF!*Tablo1[[#This Row],[Esans]]*100)+(#REF!/1000*Tablo1[[#This Row],[Su]]*100)+(#REF!/1000*Tablo1[[#This Row],[Alkol]]*100))*(#REF!/100)+#REF!</f>
        <v>#REF!</v>
      </c>
      <c r="I514" s="5" t="s">
        <v>776</v>
      </c>
      <c r="J514" s="52" t="e">
        <f>#REF!*Tablo1[[#This Row],[Esans]]</f>
        <v>#REF!</v>
      </c>
      <c r="K514" s="52" t="e">
        <f>#REF!*Tablo1[[#This Row],[Su]]</f>
        <v>#REF!</v>
      </c>
      <c r="L514" s="52" t="e">
        <f>#REF!*Tablo1[[#This Row],[Alkol]]</f>
        <v>#REF!</v>
      </c>
      <c r="M514" s="45"/>
      <c r="N514" s="52">
        <f>(Tablo1[[#This Row],[KALAN ESANS]]/Tablo1[[#This Row],[Esans]]*0.01)*(Tablo1[[#This Row],[Alkol]]*100)</f>
        <v>0</v>
      </c>
      <c r="O514" s="52">
        <f>(Tablo1[[#This Row],[KALAN ESANS]]/Tablo1[[#This Row],[Esans]]*0.01)*(Tablo1[[#This Row],[Su]]*100)</f>
        <v>0</v>
      </c>
      <c r="P514" s="52">
        <f>Tablo1[[#This Row],[KALAN ESANS]]+Tablo1[[#This Row],[ALKOL Mik]]+Tablo1[[#This Row],[SU Mik]]</f>
        <v>0</v>
      </c>
    </row>
    <row r="515" spans="1:16" ht="15" customHeight="1" x14ac:dyDescent="0.2">
      <c r="A515" s="19" t="s">
        <v>269</v>
      </c>
      <c r="B515" s="42"/>
      <c r="C515" s="2">
        <v>0.2</v>
      </c>
      <c r="D515" s="2">
        <v>0.02</v>
      </c>
      <c r="E515" s="8">
        <f t="shared" si="7"/>
        <v>0.78</v>
      </c>
      <c r="F515" s="5" t="s">
        <v>25</v>
      </c>
      <c r="G515" s="18" t="s">
        <v>769</v>
      </c>
      <c r="H515" s="58" t="e">
        <f>((Tablo1[[#This Row],[Esans Fiyat]]/#REF!*Tablo1[[#This Row],[Esans]]*100)+(#REF!/1000*Tablo1[[#This Row],[Su]]*100)+(#REF!/1000*Tablo1[[#This Row],[Alkol]]*100))*(#REF!/100)+#REF!</f>
        <v>#REF!</v>
      </c>
      <c r="I515" s="5" t="s">
        <v>776</v>
      </c>
      <c r="J515" s="52" t="e">
        <f>#REF!*Tablo1[[#This Row],[Esans]]</f>
        <v>#REF!</v>
      </c>
      <c r="K515" s="52" t="e">
        <f>#REF!*Tablo1[[#This Row],[Su]]</f>
        <v>#REF!</v>
      </c>
      <c r="L515" s="52" t="e">
        <f>#REF!*Tablo1[[#This Row],[Alkol]]</f>
        <v>#REF!</v>
      </c>
      <c r="M515" s="45"/>
      <c r="N515" s="52">
        <f>(Tablo1[[#This Row],[KALAN ESANS]]/Tablo1[[#This Row],[Esans]]*0.01)*(Tablo1[[#This Row],[Alkol]]*100)</f>
        <v>0</v>
      </c>
      <c r="O515" s="52">
        <f>(Tablo1[[#This Row],[KALAN ESANS]]/Tablo1[[#This Row],[Esans]]*0.01)*(Tablo1[[#This Row],[Su]]*100)</f>
        <v>0</v>
      </c>
      <c r="P515" s="52">
        <f>Tablo1[[#This Row],[KALAN ESANS]]+Tablo1[[#This Row],[ALKOL Mik]]+Tablo1[[#This Row],[SU Mik]]</f>
        <v>0</v>
      </c>
    </row>
    <row r="516" spans="1:16" ht="15" customHeight="1" x14ac:dyDescent="0.2">
      <c r="A516" s="19" t="s">
        <v>268</v>
      </c>
      <c r="B516" s="42"/>
      <c r="C516" s="2">
        <v>0.18</v>
      </c>
      <c r="D516" s="2">
        <v>0.02</v>
      </c>
      <c r="E516" s="8">
        <f t="shared" ref="E516:E579" si="8">1-D516-C516</f>
        <v>0.8</v>
      </c>
      <c r="F516" s="5" t="s">
        <v>25</v>
      </c>
      <c r="G516" s="18" t="s">
        <v>769</v>
      </c>
      <c r="H516" s="58" t="e">
        <f>((Tablo1[[#This Row],[Esans Fiyat]]/#REF!*Tablo1[[#This Row],[Esans]]*100)+(#REF!/1000*Tablo1[[#This Row],[Su]]*100)+(#REF!/1000*Tablo1[[#This Row],[Alkol]]*100))*(#REF!/100)+#REF!</f>
        <v>#REF!</v>
      </c>
      <c r="I516" s="5" t="s">
        <v>772</v>
      </c>
      <c r="J516" s="52" t="e">
        <f>#REF!*Tablo1[[#This Row],[Esans]]</f>
        <v>#REF!</v>
      </c>
      <c r="K516" s="52" t="e">
        <f>#REF!*Tablo1[[#This Row],[Su]]</f>
        <v>#REF!</v>
      </c>
      <c r="L516" s="52" t="e">
        <f>#REF!*Tablo1[[#This Row],[Alkol]]</f>
        <v>#REF!</v>
      </c>
      <c r="M516" s="45"/>
      <c r="N516" s="52">
        <f>(Tablo1[[#This Row],[KALAN ESANS]]/Tablo1[[#This Row],[Esans]]*0.01)*(Tablo1[[#This Row],[Alkol]]*100)</f>
        <v>0</v>
      </c>
      <c r="O516" s="52">
        <f>(Tablo1[[#This Row],[KALAN ESANS]]/Tablo1[[#This Row],[Esans]]*0.01)*(Tablo1[[#This Row],[Su]]*100)</f>
        <v>0</v>
      </c>
      <c r="P516" s="52">
        <f>Tablo1[[#This Row],[KALAN ESANS]]+Tablo1[[#This Row],[ALKOL Mik]]+Tablo1[[#This Row],[SU Mik]]</f>
        <v>0</v>
      </c>
    </row>
    <row r="517" spans="1:16" ht="15" customHeight="1" x14ac:dyDescent="0.2">
      <c r="A517" s="19" t="s">
        <v>267</v>
      </c>
      <c r="B517" s="42"/>
      <c r="C517" s="2">
        <v>0.2</v>
      </c>
      <c r="D517" s="2">
        <v>0.02</v>
      </c>
      <c r="E517" s="8">
        <f t="shared" si="8"/>
        <v>0.78</v>
      </c>
      <c r="F517" s="5" t="s">
        <v>25</v>
      </c>
      <c r="G517" s="18" t="s">
        <v>769</v>
      </c>
      <c r="H517" s="58" t="e">
        <f>((Tablo1[[#This Row],[Esans Fiyat]]/#REF!*Tablo1[[#This Row],[Esans]]*100)+(#REF!/1000*Tablo1[[#This Row],[Su]]*100)+(#REF!/1000*Tablo1[[#This Row],[Alkol]]*100))*(#REF!/100)+#REF!</f>
        <v>#REF!</v>
      </c>
      <c r="I517" s="5" t="s">
        <v>776</v>
      </c>
      <c r="J517" s="52" t="e">
        <f>#REF!*Tablo1[[#This Row],[Esans]]</f>
        <v>#REF!</v>
      </c>
      <c r="K517" s="52" t="e">
        <f>#REF!*Tablo1[[#This Row],[Su]]</f>
        <v>#REF!</v>
      </c>
      <c r="L517" s="52" t="e">
        <f>#REF!*Tablo1[[#This Row],[Alkol]]</f>
        <v>#REF!</v>
      </c>
      <c r="M517" s="45"/>
      <c r="N517" s="52">
        <f>(Tablo1[[#This Row],[KALAN ESANS]]/Tablo1[[#This Row],[Esans]]*0.01)*(Tablo1[[#This Row],[Alkol]]*100)</f>
        <v>0</v>
      </c>
      <c r="O517" s="52">
        <f>(Tablo1[[#This Row],[KALAN ESANS]]/Tablo1[[#This Row],[Esans]]*0.01)*(Tablo1[[#This Row],[Su]]*100)</f>
        <v>0</v>
      </c>
      <c r="P517" s="52">
        <f>Tablo1[[#This Row],[KALAN ESANS]]+Tablo1[[#This Row],[ALKOL Mik]]+Tablo1[[#This Row],[SU Mik]]</f>
        <v>0</v>
      </c>
    </row>
    <row r="518" spans="1:16" ht="15" customHeight="1" x14ac:dyDescent="0.2">
      <c r="A518" s="19" t="s">
        <v>266</v>
      </c>
      <c r="B518" s="42"/>
      <c r="C518" s="2">
        <v>0.2</v>
      </c>
      <c r="D518" s="2">
        <v>0.02</v>
      </c>
      <c r="E518" s="8">
        <f t="shared" si="8"/>
        <v>0.78</v>
      </c>
      <c r="F518" s="5" t="s">
        <v>25</v>
      </c>
      <c r="G518" s="18" t="s">
        <v>769</v>
      </c>
      <c r="H518" s="58" t="e">
        <f>((Tablo1[[#This Row],[Esans Fiyat]]/#REF!*Tablo1[[#This Row],[Esans]]*100)+(#REF!/1000*Tablo1[[#This Row],[Su]]*100)+(#REF!/1000*Tablo1[[#This Row],[Alkol]]*100))*(#REF!/100)+#REF!</f>
        <v>#REF!</v>
      </c>
      <c r="I518" s="5" t="s">
        <v>776</v>
      </c>
      <c r="J518" s="52" t="e">
        <f>#REF!*Tablo1[[#This Row],[Esans]]</f>
        <v>#REF!</v>
      </c>
      <c r="K518" s="52" t="e">
        <f>#REF!*Tablo1[[#This Row],[Su]]</f>
        <v>#REF!</v>
      </c>
      <c r="L518" s="52" t="e">
        <f>#REF!*Tablo1[[#This Row],[Alkol]]</f>
        <v>#REF!</v>
      </c>
      <c r="M518" s="45"/>
      <c r="N518" s="52">
        <f>(Tablo1[[#This Row],[KALAN ESANS]]/Tablo1[[#This Row],[Esans]]*0.01)*(Tablo1[[#This Row],[Alkol]]*100)</f>
        <v>0</v>
      </c>
      <c r="O518" s="52">
        <f>(Tablo1[[#This Row],[KALAN ESANS]]/Tablo1[[#This Row],[Esans]]*0.01)*(Tablo1[[#This Row],[Su]]*100)</f>
        <v>0</v>
      </c>
      <c r="P518" s="52">
        <f>Tablo1[[#This Row],[KALAN ESANS]]+Tablo1[[#This Row],[ALKOL Mik]]+Tablo1[[#This Row],[SU Mik]]</f>
        <v>0</v>
      </c>
    </row>
    <row r="519" spans="1:16" ht="15" customHeight="1" x14ac:dyDescent="0.2">
      <c r="A519" s="19" t="s">
        <v>270</v>
      </c>
      <c r="B519" s="42"/>
      <c r="C519" s="2">
        <v>0.2</v>
      </c>
      <c r="D519" s="2">
        <v>0.02</v>
      </c>
      <c r="E519" s="8">
        <f t="shared" si="8"/>
        <v>0.78</v>
      </c>
      <c r="F519" s="5" t="s">
        <v>25</v>
      </c>
      <c r="G519" s="18" t="s">
        <v>769</v>
      </c>
      <c r="H519" s="58" t="e">
        <f>((Tablo1[[#This Row],[Esans Fiyat]]/#REF!*Tablo1[[#This Row],[Esans]]*100)+(#REF!/1000*Tablo1[[#This Row],[Su]]*100)+(#REF!/1000*Tablo1[[#This Row],[Alkol]]*100))*(#REF!/100)+#REF!</f>
        <v>#REF!</v>
      </c>
      <c r="I519" s="5" t="s">
        <v>776</v>
      </c>
      <c r="J519" s="52" t="e">
        <f>#REF!*Tablo1[[#This Row],[Esans]]</f>
        <v>#REF!</v>
      </c>
      <c r="K519" s="52" t="e">
        <f>#REF!*Tablo1[[#This Row],[Su]]</f>
        <v>#REF!</v>
      </c>
      <c r="L519" s="52" t="e">
        <f>#REF!*Tablo1[[#This Row],[Alkol]]</f>
        <v>#REF!</v>
      </c>
      <c r="M519" s="45"/>
      <c r="N519" s="52">
        <f>(Tablo1[[#This Row],[KALAN ESANS]]/Tablo1[[#This Row],[Esans]]*0.01)*(Tablo1[[#This Row],[Alkol]]*100)</f>
        <v>0</v>
      </c>
      <c r="O519" s="52">
        <f>(Tablo1[[#This Row],[KALAN ESANS]]/Tablo1[[#This Row],[Esans]]*0.01)*(Tablo1[[#This Row],[Su]]*100)</f>
        <v>0</v>
      </c>
      <c r="P519" s="52">
        <f>Tablo1[[#This Row],[KALAN ESANS]]+Tablo1[[#This Row],[ALKOL Mik]]+Tablo1[[#This Row],[SU Mik]]</f>
        <v>0</v>
      </c>
    </row>
    <row r="520" spans="1:16" ht="15" customHeight="1" x14ac:dyDescent="0.2">
      <c r="A520" s="19" t="s">
        <v>0</v>
      </c>
      <c r="B520" s="42"/>
      <c r="C520" s="2">
        <v>0.2</v>
      </c>
      <c r="D520" s="2">
        <v>0.02</v>
      </c>
      <c r="E520" s="8">
        <f t="shared" si="8"/>
        <v>0.78</v>
      </c>
      <c r="F520" s="5" t="s">
        <v>25</v>
      </c>
      <c r="G520" s="18" t="s">
        <v>769</v>
      </c>
      <c r="H520" s="58" t="e">
        <f>((Tablo1[[#This Row],[Esans Fiyat]]/#REF!*Tablo1[[#This Row],[Esans]]*100)+(#REF!/1000*Tablo1[[#This Row],[Su]]*100)+(#REF!/1000*Tablo1[[#This Row],[Alkol]]*100))*(#REF!/100)+#REF!</f>
        <v>#REF!</v>
      </c>
      <c r="I520" s="5" t="s">
        <v>782</v>
      </c>
      <c r="J520" s="52" t="e">
        <f>#REF!*Tablo1[[#This Row],[Esans]]</f>
        <v>#REF!</v>
      </c>
      <c r="K520" s="52" t="e">
        <f>#REF!*Tablo1[[#This Row],[Su]]</f>
        <v>#REF!</v>
      </c>
      <c r="L520" s="52" t="e">
        <f>#REF!*Tablo1[[#This Row],[Alkol]]</f>
        <v>#REF!</v>
      </c>
      <c r="M520" s="45"/>
      <c r="N520" s="52">
        <f>(Tablo1[[#This Row],[KALAN ESANS]]/Tablo1[[#This Row],[Esans]]*0.01)*(Tablo1[[#This Row],[Alkol]]*100)</f>
        <v>0</v>
      </c>
      <c r="O520" s="52">
        <f>(Tablo1[[#This Row],[KALAN ESANS]]/Tablo1[[#This Row],[Esans]]*0.01)*(Tablo1[[#This Row],[Su]]*100)</f>
        <v>0</v>
      </c>
      <c r="P520" s="52">
        <f>Tablo1[[#This Row],[KALAN ESANS]]+Tablo1[[#This Row],[ALKOL Mik]]+Tablo1[[#This Row],[SU Mik]]</f>
        <v>0</v>
      </c>
    </row>
    <row r="521" spans="1:16" ht="15" customHeight="1" x14ac:dyDescent="0.2">
      <c r="A521" s="19" t="s">
        <v>14</v>
      </c>
      <c r="B521" s="42"/>
      <c r="C521" s="2">
        <v>0.2</v>
      </c>
      <c r="D521" s="2">
        <v>0.02</v>
      </c>
      <c r="E521" s="8">
        <f t="shared" si="8"/>
        <v>0.78</v>
      </c>
      <c r="F521" s="5" t="s">
        <v>25</v>
      </c>
      <c r="G521" s="18" t="s">
        <v>769</v>
      </c>
      <c r="H521" s="58" t="e">
        <f>((Tablo1[[#This Row],[Esans Fiyat]]/#REF!*Tablo1[[#This Row],[Esans]]*100)+(#REF!/1000*Tablo1[[#This Row],[Su]]*100)+(#REF!/1000*Tablo1[[#This Row],[Alkol]]*100))*(#REF!/100)+#REF!</f>
        <v>#REF!</v>
      </c>
      <c r="I521" s="5" t="s">
        <v>782</v>
      </c>
      <c r="J521" s="52" t="e">
        <f>#REF!*Tablo1[[#This Row],[Esans]]</f>
        <v>#REF!</v>
      </c>
      <c r="K521" s="52" t="e">
        <f>#REF!*Tablo1[[#This Row],[Su]]</f>
        <v>#REF!</v>
      </c>
      <c r="L521" s="52" t="e">
        <f>#REF!*Tablo1[[#This Row],[Alkol]]</f>
        <v>#REF!</v>
      </c>
      <c r="M521" s="45"/>
      <c r="N521" s="52">
        <f>(Tablo1[[#This Row],[KALAN ESANS]]/Tablo1[[#This Row],[Esans]]*0.01)*(Tablo1[[#This Row],[Alkol]]*100)</f>
        <v>0</v>
      </c>
      <c r="O521" s="52">
        <f>(Tablo1[[#This Row],[KALAN ESANS]]/Tablo1[[#This Row],[Esans]]*0.01)*(Tablo1[[#This Row],[Su]]*100)</f>
        <v>0</v>
      </c>
      <c r="P521" s="52">
        <f>Tablo1[[#This Row],[KALAN ESANS]]+Tablo1[[#This Row],[ALKOL Mik]]+Tablo1[[#This Row],[SU Mik]]</f>
        <v>0</v>
      </c>
    </row>
    <row r="522" spans="1:16" ht="15" customHeight="1" x14ac:dyDescent="0.2">
      <c r="A522" s="19" t="s">
        <v>272</v>
      </c>
      <c r="B522" s="42"/>
      <c r="C522" s="2">
        <v>0.2</v>
      </c>
      <c r="D522" s="2">
        <v>0.02</v>
      </c>
      <c r="E522" s="8">
        <f t="shared" si="8"/>
        <v>0.78</v>
      </c>
      <c r="F522" s="5" t="s">
        <v>25</v>
      </c>
      <c r="G522" s="18" t="s">
        <v>769</v>
      </c>
      <c r="H522" s="58" t="e">
        <f>((Tablo1[[#This Row],[Esans Fiyat]]/#REF!*Tablo1[[#This Row],[Esans]]*100)+(#REF!/1000*Tablo1[[#This Row],[Su]]*100)+(#REF!/1000*Tablo1[[#This Row],[Alkol]]*100))*(#REF!/100)+#REF!</f>
        <v>#REF!</v>
      </c>
      <c r="I522" s="5" t="s">
        <v>776</v>
      </c>
      <c r="J522" s="52" t="e">
        <f>#REF!*Tablo1[[#This Row],[Esans]]</f>
        <v>#REF!</v>
      </c>
      <c r="K522" s="52" t="e">
        <f>#REF!*Tablo1[[#This Row],[Su]]</f>
        <v>#REF!</v>
      </c>
      <c r="L522" s="52" t="e">
        <f>#REF!*Tablo1[[#This Row],[Alkol]]</f>
        <v>#REF!</v>
      </c>
      <c r="M522" s="45"/>
      <c r="N522" s="52">
        <f>(Tablo1[[#This Row],[KALAN ESANS]]/Tablo1[[#This Row],[Esans]]*0.01)*(Tablo1[[#This Row],[Alkol]]*100)</f>
        <v>0</v>
      </c>
      <c r="O522" s="52">
        <f>(Tablo1[[#This Row],[KALAN ESANS]]/Tablo1[[#This Row],[Esans]]*0.01)*(Tablo1[[#This Row],[Su]]*100)</f>
        <v>0</v>
      </c>
      <c r="P522" s="52">
        <f>Tablo1[[#This Row],[KALAN ESANS]]+Tablo1[[#This Row],[ALKOL Mik]]+Tablo1[[#This Row],[SU Mik]]</f>
        <v>0</v>
      </c>
    </row>
    <row r="523" spans="1:16" ht="15" customHeight="1" x14ac:dyDescent="0.2">
      <c r="A523" s="19" t="s">
        <v>265</v>
      </c>
      <c r="B523" s="42"/>
      <c r="C523" s="2">
        <v>0.2</v>
      </c>
      <c r="D523" s="2">
        <v>0.02</v>
      </c>
      <c r="E523" s="8">
        <f t="shared" si="8"/>
        <v>0.78</v>
      </c>
      <c r="F523" s="5" t="s">
        <v>25</v>
      </c>
      <c r="G523" s="18" t="s">
        <v>769</v>
      </c>
      <c r="H523" s="58" t="e">
        <f>((Tablo1[[#This Row],[Esans Fiyat]]/#REF!*Tablo1[[#This Row],[Esans]]*100)+(#REF!/1000*Tablo1[[#This Row],[Su]]*100)+(#REF!/1000*Tablo1[[#This Row],[Alkol]]*100))*(#REF!/100)+#REF!</f>
        <v>#REF!</v>
      </c>
      <c r="I523" s="5" t="s">
        <v>776</v>
      </c>
      <c r="J523" s="52" t="e">
        <f>#REF!*Tablo1[[#This Row],[Esans]]</f>
        <v>#REF!</v>
      </c>
      <c r="K523" s="52" t="e">
        <f>#REF!*Tablo1[[#This Row],[Su]]</f>
        <v>#REF!</v>
      </c>
      <c r="L523" s="52" t="e">
        <f>#REF!*Tablo1[[#This Row],[Alkol]]</f>
        <v>#REF!</v>
      </c>
      <c r="M523" s="45"/>
      <c r="N523" s="52">
        <f>(Tablo1[[#This Row],[KALAN ESANS]]/Tablo1[[#This Row],[Esans]]*0.01)*(Tablo1[[#This Row],[Alkol]]*100)</f>
        <v>0</v>
      </c>
      <c r="O523" s="52">
        <f>(Tablo1[[#This Row],[KALAN ESANS]]/Tablo1[[#This Row],[Esans]]*0.01)*(Tablo1[[#This Row],[Su]]*100)</f>
        <v>0</v>
      </c>
      <c r="P523" s="52">
        <f>Tablo1[[#This Row],[KALAN ESANS]]+Tablo1[[#This Row],[ALKOL Mik]]+Tablo1[[#This Row],[SU Mik]]</f>
        <v>0</v>
      </c>
    </row>
    <row r="524" spans="1:16" ht="15" customHeight="1" x14ac:dyDescent="0.2">
      <c r="A524" s="19" t="s">
        <v>264</v>
      </c>
      <c r="B524" s="42"/>
      <c r="C524" s="2">
        <v>0.2</v>
      </c>
      <c r="D524" s="2">
        <v>0.02</v>
      </c>
      <c r="E524" s="8">
        <f t="shared" si="8"/>
        <v>0.78</v>
      </c>
      <c r="F524" s="5" t="s">
        <v>25</v>
      </c>
      <c r="G524" s="18" t="s">
        <v>769</v>
      </c>
      <c r="H524" s="58" t="e">
        <f>((Tablo1[[#This Row],[Esans Fiyat]]/#REF!*Tablo1[[#This Row],[Esans]]*100)+(#REF!/1000*Tablo1[[#This Row],[Su]]*100)+(#REF!/1000*Tablo1[[#This Row],[Alkol]]*100))*(#REF!/100)+#REF!</f>
        <v>#REF!</v>
      </c>
      <c r="I524" s="5" t="s">
        <v>776</v>
      </c>
      <c r="J524" s="52" t="e">
        <f>#REF!*Tablo1[[#This Row],[Esans]]</f>
        <v>#REF!</v>
      </c>
      <c r="K524" s="52" t="e">
        <f>#REF!*Tablo1[[#This Row],[Su]]</f>
        <v>#REF!</v>
      </c>
      <c r="L524" s="52" t="e">
        <f>#REF!*Tablo1[[#This Row],[Alkol]]</f>
        <v>#REF!</v>
      </c>
      <c r="M524" s="45"/>
      <c r="N524" s="52">
        <f>(Tablo1[[#This Row],[KALAN ESANS]]/Tablo1[[#This Row],[Esans]]*0.01)*(Tablo1[[#This Row],[Alkol]]*100)</f>
        <v>0</v>
      </c>
      <c r="O524" s="52">
        <f>(Tablo1[[#This Row],[KALAN ESANS]]/Tablo1[[#This Row],[Esans]]*0.01)*(Tablo1[[#This Row],[Su]]*100)</f>
        <v>0</v>
      </c>
      <c r="P524" s="52">
        <f>Tablo1[[#This Row],[KALAN ESANS]]+Tablo1[[#This Row],[ALKOL Mik]]+Tablo1[[#This Row],[SU Mik]]</f>
        <v>0</v>
      </c>
    </row>
    <row r="525" spans="1:16" ht="15" customHeight="1" x14ac:dyDescent="0.2">
      <c r="A525" s="19" t="s">
        <v>271</v>
      </c>
      <c r="B525" s="42"/>
      <c r="C525" s="2">
        <v>0.15</v>
      </c>
      <c r="D525" s="2">
        <v>0.02</v>
      </c>
      <c r="E525" s="8">
        <f t="shared" si="8"/>
        <v>0.83</v>
      </c>
      <c r="F525" s="5" t="s">
        <v>28</v>
      </c>
      <c r="G525" s="18" t="s">
        <v>769</v>
      </c>
      <c r="H525" s="58" t="e">
        <f>((Tablo1[[#This Row],[Esans Fiyat]]/#REF!*Tablo1[[#This Row],[Esans]]*100)+(#REF!/1000*Tablo1[[#This Row],[Su]]*100)+(#REF!/1000*Tablo1[[#This Row],[Alkol]]*100))*(#REF!/100)+#REF!</f>
        <v>#REF!</v>
      </c>
      <c r="I525" s="5" t="s">
        <v>776</v>
      </c>
      <c r="J525" s="52" t="e">
        <f>#REF!*Tablo1[[#This Row],[Esans]]</f>
        <v>#REF!</v>
      </c>
      <c r="K525" s="52" t="e">
        <f>#REF!*Tablo1[[#This Row],[Su]]</f>
        <v>#REF!</v>
      </c>
      <c r="L525" s="52" t="e">
        <f>#REF!*Tablo1[[#This Row],[Alkol]]</f>
        <v>#REF!</v>
      </c>
      <c r="M525" s="45"/>
      <c r="N525" s="52">
        <f>(Tablo1[[#This Row],[KALAN ESANS]]/Tablo1[[#This Row],[Esans]]*0.01)*(Tablo1[[#This Row],[Alkol]]*100)</f>
        <v>0</v>
      </c>
      <c r="O525" s="52">
        <f>(Tablo1[[#This Row],[KALAN ESANS]]/Tablo1[[#This Row],[Esans]]*0.01)*(Tablo1[[#This Row],[Su]]*100)</f>
        <v>0</v>
      </c>
      <c r="P525" s="52">
        <f>Tablo1[[#This Row],[KALAN ESANS]]+Tablo1[[#This Row],[ALKOL Mik]]+Tablo1[[#This Row],[SU Mik]]</f>
        <v>0</v>
      </c>
    </row>
    <row r="526" spans="1:16" ht="15" customHeight="1" x14ac:dyDescent="0.2">
      <c r="A526" s="19" t="s">
        <v>263</v>
      </c>
      <c r="B526" s="42"/>
      <c r="C526" s="2">
        <v>0.2</v>
      </c>
      <c r="D526" s="2">
        <v>0.02</v>
      </c>
      <c r="E526" s="8">
        <f t="shared" si="8"/>
        <v>0.78</v>
      </c>
      <c r="F526" s="5" t="s">
        <v>25</v>
      </c>
      <c r="G526" s="18" t="s">
        <v>769</v>
      </c>
      <c r="H526" s="58" t="e">
        <f>((Tablo1[[#This Row],[Esans Fiyat]]/#REF!*Tablo1[[#This Row],[Esans]]*100)+(#REF!/1000*Tablo1[[#This Row],[Su]]*100)+(#REF!/1000*Tablo1[[#This Row],[Alkol]]*100))*(#REF!/100)+#REF!</f>
        <v>#REF!</v>
      </c>
      <c r="I526" s="5" t="s">
        <v>776</v>
      </c>
      <c r="J526" s="52" t="e">
        <f>#REF!*Tablo1[[#This Row],[Esans]]</f>
        <v>#REF!</v>
      </c>
      <c r="K526" s="52" t="e">
        <f>#REF!*Tablo1[[#This Row],[Su]]</f>
        <v>#REF!</v>
      </c>
      <c r="L526" s="52" t="e">
        <f>#REF!*Tablo1[[#This Row],[Alkol]]</f>
        <v>#REF!</v>
      </c>
      <c r="M526" s="45"/>
      <c r="N526" s="52">
        <f>(Tablo1[[#This Row],[KALAN ESANS]]/Tablo1[[#This Row],[Esans]]*0.01)*(Tablo1[[#This Row],[Alkol]]*100)</f>
        <v>0</v>
      </c>
      <c r="O526" s="52">
        <f>(Tablo1[[#This Row],[KALAN ESANS]]/Tablo1[[#This Row],[Esans]]*0.01)*(Tablo1[[#This Row],[Su]]*100)</f>
        <v>0</v>
      </c>
      <c r="P526" s="52">
        <f>Tablo1[[#This Row],[KALAN ESANS]]+Tablo1[[#This Row],[ALKOL Mik]]+Tablo1[[#This Row],[SU Mik]]</f>
        <v>0</v>
      </c>
    </row>
    <row r="527" spans="1:16" ht="15" customHeight="1" x14ac:dyDescent="0.2">
      <c r="A527" s="19" t="s">
        <v>262</v>
      </c>
      <c r="B527" s="42"/>
      <c r="C527" s="2">
        <v>0.2</v>
      </c>
      <c r="D527" s="2">
        <v>0.02</v>
      </c>
      <c r="E527" s="8">
        <f t="shared" si="8"/>
        <v>0.78</v>
      </c>
      <c r="F527" s="5" t="s">
        <v>25</v>
      </c>
      <c r="G527" s="18" t="s">
        <v>769</v>
      </c>
      <c r="H527" s="58" t="e">
        <f>((Tablo1[[#This Row],[Esans Fiyat]]/#REF!*Tablo1[[#This Row],[Esans]]*100)+(#REF!/1000*Tablo1[[#This Row],[Su]]*100)+(#REF!/1000*Tablo1[[#This Row],[Alkol]]*100))*(#REF!/100)+#REF!</f>
        <v>#REF!</v>
      </c>
      <c r="I527" s="5" t="s">
        <v>776</v>
      </c>
      <c r="J527" s="52" t="e">
        <f>#REF!*Tablo1[[#This Row],[Esans]]</f>
        <v>#REF!</v>
      </c>
      <c r="K527" s="52" t="e">
        <f>#REF!*Tablo1[[#This Row],[Su]]</f>
        <v>#REF!</v>
      </c>
      <c r="L527" s="52" t="e">
        <f>#REF!*Tablo1[[#This Row],[Alkol]]</f>
        <v>#REF!</v>
      </c>
      <c r="M527" s="45"/>
      <c r="N527" s="52">
        <f>(Tablo1[[#This Row],[KALAN ESANS]]/Tablo1[[#This Row],[Esans]]*0.01)*(Tablo1[[#This Row],[Alkol]]*100)</f>
        <v>0</v>
      </c>
      <c r="O527" s="52">
        <f>(Tablo1[[#This Row],[KALAN ESANS]]/Tablo1[[#This Row],[Esans]]*0.01)*(Tablo1[[#This Row],[Su]]*100)</f>
        <v>0</v>
      </c>
      <c r="P527" s="52">
        <f>Tablo1[[#This Row],[KALAN ESANS]]+Tablo1[[#This Row],[ALKOL Mik]]+Tablo1[[#This Row],[SU Mik]]</f>
        <v>0</v>
      </c>
    </row>
    <row r="528" spans="1:16" ht="15" customHeight="1" x14ac:dyDescent="0.2">
      <c r="A528" s="20" t="s">
        <v>766</v>
      </c>
      <c r="B528" s="37"/>
      <c r="C528" s="3">
        <v>0.04</v>
      </c>
      <c r="D528" s="3">
        <v>0.02</v>
      </c>
      <c r="E528" s="9">
        <f t="shared" si="8"/>
        <v>0.94</v>
      </c>
      <c r="F528" s="6" t="s">
        <v>38</v>
      </c>
      <c r="G528" s="6" t="s">
        <v>770</v>
      </c>
      <c r="H528" s="59" t="e">
        <f>((Tablo1[[#This Row],[Esans Fiyat]]/#REF!*Tablo1[[#This Row],[Esans]]*100)+(#REF!/1000*Tablo1[[#This Row],[Su]]*100)+(#REF!/1000*Tablo1[[#This Row],[Alkol]]*100))*(#REF!/100)+#REF!</f>
        <v>#REF!</v>
      </c>
      <c r="I528" s="6" t="s">
        <v>782</v>
      </c>
      <c r="J528" s="53" t="e">
        <f>#REF!*Tablo1[[#This Row],[Esans]]</f>
        <v>#REF!</v>
      </c>
      <c r="K528" s="53" t="e">
        <f>#REF!*Tablo1[[#This Row],[Su]]</f>
        <v>#REF!</v>
      </c>
      <c r="L528" s="53" t="e">
        <f>#REF!*Tablo1[[#This Row],[Alkol]]</f>
        <v>#REF!</v>
      </c>
      <c r="M528" s="46"/>
      <c r="N528" s="53">
        <f>(Tablo1[[#This Row],[KALAN ESANS]]/Tablo1[[#This Row],[Esans]]*0.01)*(Tablo1[[#This Row],[Alkol]]*100)</f>
        <v>0</v>
      </c>
      <c r="O528" s="53">
        <f>(Tablo1[[#This Row],[KALAN ESANS]]/Tablo1[[#This Row],[Esans]]*0.01)*(Tablo1[[#This Row],[Su]]*100)</f>
        <v>0</v>
      </c>
      <c r="P528" s="53">
        <f>Tablo1[[#This Row],[KALAN ESANS]]+Tablo1[[#This Row],[ALKOL Mik]]+Tablo1[[#This Row],[SU Mik]]</f>
        <v>0</v>
      </c>
    </row>
    <row r="529" spans="1:16" ht="15" customHeight="1" x14ac:dyDescent="0.2">
      <c r="A529" s="20" t="s">
        <v>764</v>
      </c>
      <c r="B529" s="37"/>
      <c r="C529" s="3">
        <v>0.2</v>
      </c>
      <c r="D529" s="3">
        <v>0.02</v>
      </c>
      <c r="E529" s="9">
        <f t="shared" si="8"/>
        <v>0.78</v>
      </c>
      <c r="F529" s="6" t="s">
        <v>25</v>
      </c>
      <c r="G529" s="6" t="s">
        <v>770</v>
      </c>
      <c r="H529" s="59" t="e">
        <f>((Tablo1[[#This Row],[Esans Fiyat]]/#REF!*Tablo1[[#This Row],[Esans]]*100)+(#REF!/1000*Tablo1[[#This Row],[Su]]*100)+(#REF!/1000*Tablo1[[#This Row],[Alkol]]*100))*(#REF!/100)+#REF!</f>
        <v>#REF!</v>
      </c>
      <c r="I529" s="6" t="s">
        <v>774</v>
      </c>
      <c r="J529" s="53" t="e">
        <f>#REF!*Tablo1[[#This Row],[Esans]]</f>
        <v>#REF!</v>
      </c>
      <c r="K529" s="53" t="e">
        <f>#REF!*Tablo1[[#This Row],[Su]]</f>
        <v>#REF!</v>
      </c>
      <c r="L529" s="53" t="e">
        <f>#REF!*Tablo1[[#This Row],[Alkol]]</f>
        <v>#REF!</v>
      </c>
      <c r="M529" s="46"/>
      <c r="N529" s="53">
        <f>(Tablo1[[#This Row],[KALAN ESANS]]/Tablo1[[#This Row],[Esans]]*0.01)*(Tablo1[[#This Row],[Alkol]]*100)</f>
        <v>0</v>
      </c>
      <c r="O529" s="53">
        <f>(Tablo1[[#This Row],[KALAN ESANS]]/Tablo1[[#This Row],[Esans]]*0.01)*(Tablo1[[#This Row],[Su]]*100)</f>
        <v>0</v>
      </c>
      <c r="P529" s="53">
        <f>Tablo1[[#This Row],[KALAN ESANS]]+Tablo1[[#This Row],[ALKOL Mik]]+Tablo1[[#This Row],[SU Mik]]</f>
        <v>0</v>
      </c>
    </row>
    <row r="530" spans="1:16" ht="15" customHeight="1" x14ac:dyDescent="0.2">
      <c r="A530" s="20" t="s">
        <v>763</v>
      </c>
      <c r="B530" s="37"/>
      <c r="C530" s="3">
        <v>0.2</v>
      </c>
      <c r="D530" s="3">
        <v>0.02</v>
      </c>
      <c r="E530" s="9">
        <f t="shared" si="8"/>
        <v>0.78</v>
      </c>
      <c r="F530" s="6" t="s">
        <v>25</v>
      </c>
      <c r="G530" s="6" t="s">
        <v>770</v>
      </c>
      <c r="H530" s="59" t="e">
        <f>((Tablo1[[#This Row],[Esans Fiyat]]/#REF!*Tablo1[[#This Row],[Esans]]*100)+(#REF!/1000*Tablo1[[#This Row],[Su]]*100)+(#REF!/1000*Tablo1[[#This Row],[Alkol]]*100))*(#REF!/100)+#REF!</f>
        <v>#REF!</v>
      </c>
      <c r="I530" s="6" t="s">
        <v>776</v>
      </c>
      <c r="J530" s="53" t="e">
        <f>#REF!*Tablo1[[#This Row],[Esans]]</f>
        <v>#REF!</v>
      </c>
      <c r="K530" s="53" t="e">
        <f>#REF!*Tablo1[[#This Row],[Su]]</f>
        <v>#REF!</v>
      </c>
      <c r="L530" s="53" t="e">
        <f>#REF!*Tablo1[[#This Row],[Alkol]]</f>
        <v>#REF!</v>
      </c>
      <c r="M530" s="46"/>
      <c r="N530" s="53">
        <f>(Tablo1[[#This Row],[KALAN ESANS]]/Tablo1[[#This Row],[Esans]]*0.01)*(Tablo1[[#This Row],[Alkol]]*100)</f>
        <v>0</v>
      </c>
      <c r="O530" s="53">
        <f>(Tablo1[[#This Row],[KALAN ESANS]]/Tablo1[[#This Row],[Esans]]*0.01)*(Tablo1[[#This Row],[Su]]*100)</f>
        <v>0</v>
      </c>
      <c r="P530" s="53">
        <f>Tablo1[[#This Row],[KALAN ESANS]]+Tablo1[[#This Row],[ALKOL Mik]]+Tablo1[[#This Row],[SU Mik]]</f>
        <v>0</v>
      </c>
    </row>
    <row r="531" spans="1:16" ht="15" customHeight="1" x14ac:dyDescent="0.2">
      <c r="A531" s="20" t="s">
        <v>765</v>
      </c>
      <c r="B531" s="37"/>
      <c r="C531" s="3">
        <v>0.2</v>
      </c>
      <c r="D531" s="3">
        <v>0.02</v>
      </c>
      <c r="E531" s="9">
        <f t="shared" si="8"/>
        <v>0.78</v>
      </c>
      <c r="F531" s="6" t="s">
        <v>25</v>
      </c>
      <c r="G531" s="6" t="s">
        <v>770</v>
      </c>
      <c r="H531" s="59" t="e">
        <f>((Tablo1[[#This Row],[Esans Fiyat]]/#REF!*Tablo1[[#This Row],[Esans]]*100)+(#REF!/1000*Tablo1[[#This Row],[Su]]*100)+(#REF!/1000*Tablo1[[#This Row],[Alkol]]*100))*(#REF!/100)+#REF!</f>
        <v>#REF!</v>
      </c>
      <c r="I531" s="6" t="s">
        <v>776</v>
      </c>
      <c r="J531" s="53" t="e">
        <f>#REF!*Tablo1[[#This Row],[Esans]]</f>
        <v>#REF!</v>
      </c>
      <c r="K531" s="53" t="e">
        <f>#REF!*Tablo1[[#This Row],[Su]]</f>
        <v>#REF!</v>
      </c>
      <c r="L531" s="53" t="e">
        <f>#REF!*Tablo1[[#This Row],[Alkol]]</f>
        <v>#REF!</v>
      </c>
      <c r="M531" s="46"/>
      <c r="N531" s="53">
        <f>(Tablo1[[#This Row],[KALAN ESANS]]/Tablo1[[#This Row],[Esans]]*0.01)*(Tablo1[[#This Row],[Alkol]]*100)</f>
        <v>0</v>
      </c>
      <c r="O531" s="53">
        <f>(Tablo1[[#This Row],[KALAN ESANS]]/Tablo1[[#This Row],[Esans]]*0.01)*(Tablo1[[#This Row],[Su]]*100)</f>
        <v>0</v>
      </c>
      <c r="P531" s="53">
        <f>Tablo1[[#This Row],[KALAN ESANS]]+Tablo1[[#This Row],[ALKOL Mik]]+Tablo1[[#This Row],[SU Mik]]</f>
        <v>0</v>
      </c>
    </row>
    <row r="532" spans="1:16" ht="15" customHeight="1" x14ac:dyDescent="0.2">
      <c r="A532" s="20" t="s">
        <v>759</v>
      </c>
      <c r="B532" s="37"/>
      <c r="C532" s="3">
        <v>0.2</v>
      </c>
      <c r="D532" s="3">
        <v>0.02</v>
      </c>
      <c r="E532" s="9">
        <f t="shared" si="8"/>
        <v>0.78</v>
      </c>
      <c r="F532" s="6" t="s">
        <v>25</v>
      </c>
      <c r="G532" s="6" t="s">
        <v>770</v>
      </c>
      <c r="H532" s="59" t="e">
        <f>((Tablo1[[#This Row],[Esans Fiyat]]/#REF!*Tablo1[[#This Row],[Esans]]*100)+(#REF!/1000*Tablo1[[#This Row],[Su]]*100)+(#REF!/1000*Tablo1[[#This Row],[Alkol]]*100))*(#REF!/100)+#REF!</f>
        <v>#REF!</v>
      </c>
      <c r="I532" s="6" t="s">
        <v>778</v>
      </c>
      <c r="J532" s="53" t="e">
        <f>#REF!*Tablo1[[#This Row],[Esans]]</f>
        <v>#REF!</v>
      </c>
      <c r="K532" s="53" t="e">
        <f>#REF!*Tablo1[[#This Row],[Su]]</f>
        <v>#REF!</v>
      </c>
      <c r="L532" s="53" t="e">
        <f>#REF!*Tablo1[[#This Row],[Alkol]]</f>
        <v>#REF!</v>
      </c>
      <c r="M532" s="46"/>
      <c r="N532" s="53">
        <f>(Tablo1[[#This Row],[KALAN ESANS]]/Tablo1[[#This Row],[Esans]]*0.01)*(Tablo1[[#This Row],[Alkol]]*100)</f>
        <v>0</v>
      </c>
      <c r="O532" s="53">
        <f>(Tablo1[[#This Row],[KALAN ESANS]]/Tablo1[[#This Row],[Esans]]*0.01)*(Tablo1[[#This Row],[Su]]*100)</f>
        <v>0</v>
      </c>
      <c r="P532" s="53">
        <f>Tablo1[[#This Row],[KALAN ESANS]]+Tablo1[[#This Row],[ALKOL Mik]]+Tablo1[[#This Row],[SU Mik]]</f>
        <v>0</v>
      </c>
    </row>
    <row r="533" spans="1:16" ht="15" customHeight="1" x14ac:dyDescent="0.2">
      <c r="A533" s="20" t="s">
        <v>758</v>
      </c>
      <c r="B533" s="37"/>
      <c r="C533" s="3">
        <v>0.2</v>
      </c>
      <c r="D533" s="3">
        <v>0.02</v>
      </c>
      <c r="E533" s="9">
        <f t="shared" si="8"/>
        <v>0.78</v>
      </c>
      <c r="F533" s="6" t="s">
        <v>25</v>
      </c>
      <c r="G533" s="6" t="s">
        <v>770</v>
      </c>
      <c r="H533" s="59" t="e">
        <f>((Tablo1[[#This Row],[Esans Fiyat]]/#REF!*Tablo1[[#This Row],[Esans]]*100)+(#REF!/1000*Tablo1[[#This Row],[Su]]*100)+(#REF!/1000*Tablo1[[#This Row],[Alkol]]*100))*(#REF!/100)+#REF!</f>
        <v>#REF!</v>
      </c>
      <c r="I533" s="6" t="s">
        <v>776</v>
      </c>
      <c r="J533" s="53" t="e">
        <f>#REF!*Tablo1[[#This Row],[Esans]]</f>
        <v>#REF!</v>
      </c>
      <c r="K533" s="53" t="e">
        <f>#REF!*Tablo1[[#This Row],[Su]]</f>
        <v>#REF!</v>
      </c>
      <c r="L533" s="53" t="e">
        <f>#REF!*Tablo1[[#This Row],[Alkol]]</f>
        <v>#REF!</v>
      </c>
      <c r="M533" s="46"/>
      <c r="N533" s="53">
        <f>(Tablo1[[#This Row],[KALAN ESANS]]/Tablo1[[#This Row],[Esans]]*0.01)*(Tablo1[[#This Row],[Alkol]]*100)</f>
        <v>0</v>
      </c>
      <c r="O533" s="53">
        <f>(Tablo1[[#This Row],[KALAN ESANS]]/Tablo1[[#This Row],[Esans]]*0.01)*(Tablo1[[#This Row],[Su]]*100)</f>
        <v>0</v>
      </c>
      <c r="P533" s="53">
        <f>Tablo1[[#This Row],[KALAN ESANS]]+Tablo1[[#This Row],[ALKOL Mik]]+Tablo1[[#This Row],[SU Mik]]</f>
        <v>0</v>
      </c>
    </row>
    <row r="534" spans="1:16" ht="15" customHeight="1" x14ac:dyDescent="0.2">
      <c r="A534" s="20" t="s">
        <v>760</v>
      </c>
      <c r="B534" s="37"/>
      <c r="C534" s="3">
        <v>0.18</v>
      </c>
      <c r="D534" s="3">
        <v>0.02</v>
      </c>
      <c r="E534" s="9">
        <f t="shared" si="8"/>
        <v>0.8</v>
      </c>
      <c r="F534" s="6" t="s">
        <v>25</v>
      </c>
      <c r="G534" s="6" t="s">
        <v>770</v>
      </c>
      <c r="H534" s="59" t="e">
        <f>((Tablo1[[#This Row],[Esans Fiyat]]/#REF!*Tablo1[[#This Row],[Esans]]*100)+(#REF!/1000*Tablo1[[#This Row],[Su]]*100)+(#REF!/1000*Tablo1[[#This Row],[Alkol]]*100))*(#REF!/100)+#REF!</f>
        <v>#REF!</v>
      </c>
      <c r="I534" s="6" t="s">
        <v>772</v>
      </c>
      <c r="J534" s="53" t="e">
        <f>#REF!*Tablo1[[#This Row],[Esans]]</f>
        <v>#REF!</v>
      </c>
      <c r="K534" s="53" t="e">
        <f>#REF!*Tablo1[[#This Row],[Su]]</f>
        <v>#REF!</v>
      </c>
      <c r="L534" s="53" t="e">
        <f>#REF!*Tablo1[[#This Row],[Alkol]]</f>
        <v>#REF!</v>
      </c>
      <c r="M534" s="46"/>
      <c r="N534" s="53">
        <f>(Tablo1[[#This Row],[KALAN ESANS]]/Tablo1[[#This Row],[Esans]]*0.01)*(Tablo1[[#This Row],[Alkol]]*100)</f>
        <v>0</v>
      </c>
      <c r="O534" s="53">
        <f>(Tablo1[[#This Row],[KALAN ESANS]]/Tablo1[[#This Row],[Esans]]*0.01)*(Tablo1[[#This Row],[Su]]*100)</f>
        <v>0</v>
      </c>
      <c r="P534" s="53">
        <f>Tablo1[[#This Row],[KALAN ESANS]]+Tablo1[[#This Row],[ALKOL Mik]]+Tablo1[[#This Row],[SU Mik]]</f>
        <v>0</v>
      </c>
    </row>
    <row r="535" spans="1:16" ht="15" customHeight="1" x14ac:dyDescent="0.2">
      <c r="A535" s="20" t="s">
        <v>761</v>
      </c>
      <c r="B535" s="37"/>
      <c r="C535" s="3">
        <v>0.2</v>
      </c>
      <c r="D535" s="3">
        <v>0.02</v>
      </c>
      <c r="E535" s="9">
        <f t="shared" si="8"/>
        <v>0.78</v>
      </c>
      <c r="F535" s="6" t="s">
        <v>25</v>
      </c>
      <c r="G535" s="6" t="s">
        <v>770</v>
      </c>
      <c r="H535" s="59" t="e">
        <f>((Tablo1[[#This Row],[Esans Fiyat]]/#REF!*Tablo1[[#This Row],[Esans]]*100)+(#REF!/1000*Tablo1[[#This Row],[Su]]*100)+(#REF!/1000*Tablo1[[#This Row],[Alkol]]*100))*(#REF!/100)+#REF!</f>
        <v>#REF!</v>
      </c>
      <c r="I535" s="6" t="s">
        <v>776</v>
      </c>
      <c r="J535" s="53" t="e">
        <f>#REF!*Tablo1[[#This Row],[Esans]]</f>
        <v>#REF!</v>
      </c>
      <c r="K535" s="53" t="e">
        <f>#REF!*Tablo1[[#This Row],[Su]]</f>
        <v>#REF!</v>
      </c>
      <c r="L535" s="53" t="e">
        <f>#REF!*Tablo1[[#This Row],[Alkol]]</f>
        <v>#REF!</v>
      </c>
      <c r="M535" s="46"/>
      <c r="N535" s="53">
        <f>(Tablo1[[#This Row],[KALAN ESANS]]/Tablo1[[#This Row],[Esans]]*0.01)*(Tablo1[[#This Row],[Alkol]]*100)</f>
        <v>0</v>
      </c>
      <c r="O535" s="53">
        <f>(Tablo1[[#This Row],[KALAN ESANS]]/Tablo1[[#This Row],[Esans]]*0.01)*(Tablo1[[#This Row],[Su]]*100)</f>
        <v>0</v>
      </c>
      <c r="P535" s="53">
        <f>Tablo1[[#This Row],[KALAN ESANS]]+Tablo1[[#This Row],[ALKOL Mik]]+Tablo1[[#This Row],[SU Mik]]</f>
        <v>0</v>
      </c>
    </row>
    <row r="536" spans="1:16" ht="15" customHeight="1" x14ac:dyDescent="0.2">
      <c r="A536" s="20" t="s">
        <v>762</v>
      </c>
      <c r="B536" s="37"/>
      <c r="C536" s="3">
        <v>0.2</v>
      </c>
      <c r="D536" s="3">
        <v>0.02</v>
      </c>
      <c r="E536" s="9">
        <f t="shared" si="8"/>
        <v>0.78</v>
      </c>
      <c r="F536" s="6" t="s">
        <v>25</v>
      </c>
      <c r="G536" s="6" t="s">
        <v>770</v>
      </c>
      <c r="H536" s="59" t="e">
        <f>((Tablo1[[#This Row],[Esans Fiyat]]/#REF!*Tablo1[[#This Row],[Esans]]*100)+(#REF!/1000*Tablo1[[#This Row],[Su]]*100)+(#REF!/1000*Tablo1[[#This Row],[Alkol]]*100))*(#REF!/100)+#REF!</f>
        <v>#REF!</v>
      </c>
      <c r="I536" s="6" t="s">
        <v>776</v>
      </c>
      <c r="J536" s="53" t="e">
        <f>#REF!*Tablo1[[#This Row],[Esans]]</f>
        <v>#REF!</v>
      </c>
      <c r="K536" s="53" t="e">
        <f>#REF!*Tablo1[[#This Row],[Su]]</f>
        <v>#REF!</v>
      </c>
      <c r="L536" s="53" t="e">
        <f>#REF!*Tablo1[[#This Row],[Alkol]]</f>
        <v>#REF!</v>
      </c>
      <c r="M536" s="46"/>
      <c r="N536" s="53">
        <f>(Tablo1[[#This Row],[KALAN ESANS]]/Tablo1[[#This Row],[Esans]]*0.01)*(Tablo1[[#This Row],[Alkol]]*100)</f>
        <v>0</v>
      </c>
      <c r="O536" s="53">
        <f>(Tablo1[[#This Row],[KALAN ESANS]]/Tablo1[[#This Row],[Esans]]*0.01)*(Tablo1[[#This Row],[Su]]*100)</f>
        <v>0</v>
      </c>
      <c r="P536" s="53">
        <f>Tablo1[[#This Row],[KALAN ESANS]]+Tablo1[[#This Row],[ALKOL Mik]]+Tablo1[[#This Row],[SU Mik]]</f>
        <v>0</v>
      </c>
    </row>
    <row r="537" spans="1:16" ht="15" customHeight="1" x14ac:dyDescent="0.2">
      <c r="A537" s="20" t="s">
        <v>553</v>
      </c>
      <c r="B537" s="37"/>
      <c r="C537" s="3">
        <v>0.2</v>
      </c>
      <c r="D537" s="3">
        <v>0.02</v>
      </c>
      <c r="E537" s="9">
        <f t="shared" si="8"/>
        <v>0.78</v>
      </c>
      <c r="F537" s="6" t="s">
        <v>25</v>
      </c>
      <c r="G537" s="6" t="s">
        <v>770</v>
      </c>
      <c r="H537" s="59" t="e">
        <f>((Tablo1[[#This Row],[Esans Fiyat]]/#REF!*Tablo1[[#This Row],[Esans]]*100)+(#REF!/1000*Tablo1[[#This Row],[Su]]*100)+(#REF!/1000*Tablo1[[#This Row],[Alkol]]*100))*(#REF!/100)+#REF!</f>
        <v>#REF!</v>
      </c>
      <c r="I537" s="6" t="s">
        <v>776</v>
      </c>
      <c r="J537" s="53" t="e">
        <f>#REF!*Tablo1[[#This Row],[Esans]]</f>
        <v>#REF!</v>
      </c>
      <c r="K537" s="53" t="e">
        <f>#REF!*Tablo1[[#This Row],[Su]]</f>
        <v>#REF!</v>
      </c>
      <c r="L537" s="53" t="e">
        <f>#REF!*Tablo1[[#This Row],[Alkol]]</f>
        <v>#REF!</v>
      </c>
      <c r="M537" s="46"/>
      <c r="N537" s="53">
        <f>(Tablo1[[#This Row],[KALAN ESANS]]/Tablo1[[#This Row],[Esans]]*0.01)*(Tablo1[[#This Row],[Alkol]]*100)</f>
        <v>0</v>
      </c>
      <c r="O537" s="53">
        <f>(Tablo1[[#This Row],[KALAN ESANS]]/Tablo1[[#This Row],[Esans]]*0.01)*(Tablo1[[#This Row],[Su]]*100)</f>
        <v>0</v>
      </c>
      <c r="P537" s="53">
        <f>Tablo1[[#This Row],[KALAN ESANS]]+Tablo1[[#This Row],[ALKOL Mik]]+Tablo1[[#This Row],[SU Mik]]</f>
        <v>0</v>
      </c>
    </row>
    <row r="538" spans="1:16" ht="15" customHeight="1" x14ac:dyDescent="0.2">
      <c r="A538" s="20" t="s">
        <v>568</v>
      </c>
      <c r="B538" s="37"/>
      <c r="C538" s="3">
        <v>0.23</v>
      </c>
      <c r="D538" s="3">
        <v>0.02</v>
      </c>
      <c r="E538" s="9">
        <f t="shared" si="8"/>
        <v>0.75</v>
      </c>
      <c r="F538" s="6" t="s">
        <v>779</v>
      </c>
      <c r="G538" s="6" t="s">
        <v>770</v>
      </c>
      <c r="H538" s="59" t="e">
        <f>((Tablo1[[#This Row],[Esans Fiyat]]/#REF!*Tablo1[[#This Row],[Esans]]*100)+(#REF!/1000*Tablo1[[#This Row],[Su]]*100)+(#REF!/1000*Tablo1[[#This Row],[Alkol]]*100))*(#REF!/100)+#REF!</f>
        <v>#REF!</v>
      </c>
      <c r="I538" s="6" t="s">
        <v>772</v>
      </c>
      <c r="J538" s="53" t="e">
        <f>#REF!*Tablo1[[#This Row],[Esans]]</f>
        <v>#REF!</v>
      </c>
      <c r="K538" s="53" t="e">
        <f>#REF!*Tablo1[[#This Row],[Su]]</f>
        <v>#REF!</v>
      </c>
      <c r="L538" s="53" t="e">
        <f>#REF!*Tablo1[[#This Row],[Alkol]]</f>
        <v>#REF!</v>
      </c>
      <c r="M538" s="46"/>
      <c r="N538" s="53">
        <f>(Tablo1[[#This Row],[KALAN ESANS]]/Tablo1[[#This Row],[Esans]]*0.01)*(Tablo1[[#This Row],[Alkol]]*100)</f>
        <v>0</v>
      </c>
      <c r="O538" s="53">
        <f>(Tablo1[[#This Row],[KALAN ESANS]]/Tablo1[[#This Row],[Esans]]*0.01)*(Tablo1[[#This Row],[Su]]*100)</f>
        <v>0</v>
      </c>
      <c r="P538" s="53">
        <f>Tablo1[[#This Row],[KALAN ESANS]]+Tablo1[[#This Row],[ALKOL Mik]]+Tablo1[[#This Row],[SU Mik]]</f>
        <v>0</v>
      </c>
    </row>
    <row r="539" spans="1:16" ht="15" customHeight="1" x14ac:dyDescent="0.2">
      <c r="A539" s="20" t="s">
        <v>567</v>
      </c>
      <c r="B539" s="37"/>
      <c r="C539" s="3">
        <v>0.25</v>
      </c>
      <c r="D539" s="3">
        <v>0.02</v>
      </c>
      <c r="E539" s="9">
        <f t="shared" si="8"/>
        <v>0.73</v>
      </c>
      <c r="F539" s="6" t="s">
        <v>779</v>
      </c>
      <c r="G539" s="6" t="s">
        <v>770</v>
      </c>
      <c r="H539" s="59" t="e">
        <f>((Tablo1[[#This Row],[Esans Fiyat]]/#REF!*Tablo1[[#This Row],[Esans]]*100)+(#REF!/1000*Tablo1[[#This Row],[Su]]*100)+(#REF!/1000*Tablo1[[#This Row],[Alkol]]*100))*(#REF!/100)+#REF!</f>
        <v>#REF!</v>
      </c>
      <c r="I539" s="6" t="s">
        <v>776</v>
      </c>
      <c r="J539" s="53" t="e">
        <f>#REF!*Tablo1[[#This Row],[Esans]]</f>
        <v>#REF!</v>
      </c>
      <c r="K539" s="53" t="e">
        <f>#REF!*Tablo1[[#This Row],[Su]]</f>
        <v>#REF!</v>
      </c>
      <c r="L539" s="53" t="e">
        <f>#REF!*Tablo1[[#This Row],[Alkol]]</f>
        <v>#REF!</v>
      </c>
      <c r="M539" s="46"/>
      <c r="N539" s="53">
        <f>(Tablo1[[#This Row],[KALAN ESANS]]/Tablo1[[#This Row],[Esans]]*0.01)*(Tablo1[[#This Row],[Alkol]]*100)</f>
        <v>0</v>
      </c>
      <c r="O539" s="53">
        <f>(Tablo1[[#This Row],[KALAN ESANS]]/Tablo1[[#This Row],[Esans]]*0.01)*(Tablo1[[#This Row],[Su]]*100)</f>
        <v>0</v>
      </c>
      <c r="P539" s="53">
        <f>Tablo1[[#This Row],[KALAN ESANS]]+Tablo1[[#This Row],[ALKOL Mik]]+Tablo1[[#This Row],[SU Mik]]</f>
        <v>0</v>
      </c>
    </row>
    <row r="540" spans="1:16" ht="15" customHeight="1" x14ac:dyDescent="0.2">
      <c r="A540" s="20" t="s">
        <v>561</v>
      </c>
      <c r="B540" s="37"/>
      <c r="C540" s="3">
        <v>0.2</v>
      </c>
      <c r="D540" s="3">
        <v>0.02</v>
      </c>
      <c r="E540" s="9">
        <f t="shared" si="8"/>
        <v>0.78</v>
      </c>
      <c r="F540" s="6" t="s">
        <v>25</v>
      </c>
      <c r="G540" s="6" t="s">
        <v>770</v>
      </c>
      <c r="H540" s="59" t="e">
        <f>((Tablo1[[#This Row],[Esans Fiyat]]/#REF!*Tablo1[[#This Row],[Esans]]*100)+(#REF!/1000*Tablo1[[#This Row],[Su]]*100)+(#REF!/1000*Tablo1[[#This Row],[Alkol]]*100))*(#REF!/100)+#REF!</f>
        <v>#REF!</v>
      </c>
      <c r="I540" s="6" t="s">
        <v>776</v>
      </c>
      <c r="J540" s="53" t="e">
        <f>#REF!*Tablo1[[#This Row],[Esans]]</f>
        <v>#REF!</v>
      </c>
      <c r="K540" s="53" t="e">
        <f>#REF!*Tablo1[[#This Row],[Su]]</f>
        <v>#REF!</v>
      </c>
      <c r="L540" s="53" t="e">
        <f>#REF!*Tablo1[[#This Row],[Alkol]]</f>
        <v>#REF!</v>
      </c>
      <c r="M540" s="46"/>
      <c r="N540" s="53">
        <f>(Tablo1[[#This Row],[KALAN ESANS]]/Tablo1[[#This Row],[Esans]]*0.01)*(Tablo1[[#This Row],[Alkol]]*100)</f>
        <v>0</v>
      </c>
      <c r="O540" s="53">
        <f>(Tablo1[[#This Row],[KALAN ESANS]]/Tablo1[[#This Row],[Esans]]*0.01)*(Tablo1[[#This Row],[Su]]*100)</f>
        <v>0</v>
      </c>
      <c r="P540" s="53">
        <f>Tablo1[[#This Row],[KALAN ESANS]]+Tablo1[[#This Row],[ALKOL Mik]]+Tablo1[[#This Row],[SU Mik]]</f>
        <v>0</v>
      </c>
    </row>
    <row r="541" spans="1:16" ht="15" customHeight="1" x14ac:dyDescent="0.2">
      <c r="A541" s="20" t="s">
        <v>562</v>
      </c>
      <c r="B541" s="37"/>
      <c r="C541" s="3">
        <v>0.2</v>
      </c>
      <c r="D541" s="3">
        <v>0.02</v>
      </c>
      <c r="E541" s="9">
        <f t="shared" si="8"/>
        <v>0.78</v>
      </c>
      <c r="F541" s="6" t="s">
        <v>25</v>
      </c>
      <c r="G541" s="6" t="s">
        <v>770</v>
      </c>
      <c r="H541" s="59" t="e">
        <f>((Tablo1[[#This Row],[Esans Fiyat]]/#REF!*Tablo1[[#This Row],[Esans]]*100)+(#REF!/1000*Tablo1[[#This Row],[Su]]*100)+(#REF!/1000*Tablo1[[#This Row],[Alkol]]*100))*(#REF!/100)+#REF!</f>
        <v>#REF!</v>
      </c>
      <c r="I541" s="6" t="s">
        <v>776</v>
      </c>
      <c r="J541" s="53" t="e">
        <f>#REF!*Tablo1[[#This Row],[Esans]]</f>
        <v>#REF!</v>
      </c>
      <c r="K541" s="53" t="e">
        <f>#REF!*Tablo1[[#This Row],[Su]]</f>
        <v>#REF!</v>
      </c>
      <c r="L541" s="53" t="e">
        <f>#REF!*Tablo1[[#This Row],[Alkol]]</f>
        <v>#REF!</v>
      </c>
      <c r="M541" s="46"/>
      <c r="N541" s="53">
        <f>(Tablo1[[#This Row],[KALAN ESANS]]/Tablo1[[#This Row],[Esans]]*0.01)*(Tablo1[[#This Row],[Alkol]]*100)</f>
        <v>0</v>
      </c>
      <c r="O541" s="53">
        <f>(Tablo1[[#This Row],[KALAN ESANS]]/Tablo1[[#This Row],[Esans]]*0.01)*(Tablo1[[#This Row],[Su]]*100)</f>
        <v>0</v>
      </c>
      <c r="P541" s="53">
        <f>Tablo1[[#This Row],[KALAN ESANS]]+Tablo1[[#This Row],[ALKOL Mik]]+Tablo1[[#This Row],[SU Mik]]</f>
        <v>0</v>
      </c>
    </row>
    <row r="542" spans="1:16" ht="15" customHeight="1" x14ac:dyDescent="0.2">
      <c r="A542" s="20" t="s">
        <v>566</v>
      </c>
      <c r="B542" s="37"/>
      <c r="C542" s="3">
        <v>0.2</v>
      </c>
      <c r="D542" s="3">
        <v>0.02</v>
      </c>
      <c r="E542" s="9">
        <f t="shared" si="8"/>
        <v>0.78</v>
      </c>
      <c r="F542" s="6" t="s">
        <v>25</v>
      </c>
      <c r="G542" s="6" t="s">
        <v>770</v>
      </c>
      <c r="H542" s="59" t="e">
        <f>((Tablo1[[#This Row],[Esans Fiyat]]/#REF!*Tablo1[[#This Row],[Esans]]*100)+(#REF!/1000*Tablo1[[#This Row],[Su]]*100)+(#REF!/1000*Tablo1[[#This Row],[Alkol]]*100))*(#REF!/100)+#REF!</f>
        <v>#REF!</v>
      </c>
      <c r="I542" s="6" t="s">
        <v>776</v>
      </c>
      <c r="J542" s="53" t="e">
        <f>#REF!*Tablo1[[#This Row],[Esans]]</f>
        <v>#REF!</v>
      </c>
      <c r="K542" s="53" t="e">
        <f>#REF!*Tablo1[[#This Row],[Su]]</f>
        <v>#REF!</v>
      </c>
      <c r="L542" s="53" t="e">
        <f>#REF!*Tablo1[[#This Row],[Alkol]]</f>
        <v>#REF!</v>
      </c>
      <c r="M542" s="46"/>
      <c r="N542" s="53">
        <f>(Tablo1[[#This Row],[KALAN ESANS]]/Tablo1[[#This Row],[Esans]]*0.01)*(Tablo1[[#This Row],[Alkol]]*100)</f>
        <v>0</v>
      </c>
      <c r="O542" s="53">
        <f>(Tablo1[[#This Row],[KALAN ESANS]]/Tablo1[[#This Row],[Esans]]*0.01)*(Tablo1[[#This Row],[Su]]*100)</f>
        <v>0</v>
      </c>
      <c r="P542" s="53">
        <f>Tablo1[[#This Row],[KALAN ESANS]]+Tablo1[[#This Row],[ALKOL Mik]]+Tablo1[[#This Row],[SU Mik]]</f>
        <v>0</v>
      </c>
    </row>
    <row r="543" spans="1:16" ht="15" customHeight="1" x14ac:dyDescent="0.2">
      <c r="A543" s="20" t="s">
        <v>565</v>
      </c>
      <c r="B543" s="37"/>
      <c r="C543" s="3">
        <v>0.2</v>
      </c>
      <c r="D543" s="3">
        <v>0.02</v>
      </c>
      <c r="E543" s="9">
        <f t="shared" si="8"/>
        <v>0.78</v>
      </c>
      <c r="F543" s="6" t="s">
        <v>25</v>
      </c>
      <c r="G543" s="6" t="s">
        <v>770</v>
      </c>
      <c r="H543" s="59" t="e">
        <f>((Tablo1[[#This Row],[Esans Fiyat]]/#REF!*Tablo1[[#This Row],[Esans]]*100)+(#REF!/1000*Tablo1[[#This Row],[Su]]*100)+(#REF!/1000*Tablo1[[#This Row],[Alkol]]*100))*(#REF!/100)+#REF!</f>
        <v>#REF!</v>
      </c>
      <c r="I543" s="6" t="s">
        <v>776</v>
      </c>
      <c r="J543" s="53" t="e">
        <f>#REF!*Tablo1[[#This Row],[Esans]]</f>
        <v>#REF!</v>
      </c>
      <c r="K543" s="53" t="e">
        <f>#REF!*Tablo1[[#This Row],[Su]]</f>
        <v>#REF!</v>
      </c>
      <c r="L543" s="53" t="e">
        <f>#REF!*Tablo1[[#This Row],[Alkol]]</f>
        <v>#REF!</v>
      </c>
      <c r="M543" s="46"/>
      <c r="N543" s="53">
        <f>(Tablo1[[#This Row],[KALAN ESANS]]/Tablo1[[#This Row],[Esans]]*0.01)*(Tablo1[[#This Row],[Alkol]]*100)</f>
        <v>0</v>
      </c>
      <c r="O543" s="53">
        <f>(Tablo1[[#This Row],[KALAN ESANS]]/Tablo1[[#This Row],[Esans]]*0.01)*(Tablo1[[#This Row],[Su]]*100)</f>
        <v>0</v>
      </c>
      <c r="P543" s="53">
        <f>Tablo1[[#This Row],[KALAN ESANS]]+Tablo1[[#This Row],[ALKOL Mik]]+Tablo1[[#This Row],[SU Mik]]</f>
        <v>0</v>
      </c>
    </row>
    <row r="544" spans="1:16" ht="15" customHeight="1" x14ac:dyDescent="0.2">
      <c r="A544" s="20" t="s">
        <v>564</v>
      </c>
      <c r="B544" s="37"/>
      <c r="C544" s="3">
        <v>0.2</v>
      </c>
      <c r="D544" s="3">
        <v>0.02</v>
      </c>
      <c r="E544" s="9">
        <f t="shared" si="8"/>
        <v>0.78</v>
      </c>
      <c r="F544" s="6" t="s">
        <v>25</v>
      </c>
      <c r="G544" s="6" t="s">
        <v>770</v>
      </c>
      <c r="H544" s="59" t="e">
        <f>((Tablo1[[#This Row],[Esans Fiyat]]/#REF!*Tablo1[[#This Row],[Esans]]*100)+(#REF!/1000*Tablo1[[#This Row],[Su]]*100)+(#REF!/1000*Tablo1[[#This Row],[Alkol]]*100))*(#REF!/100)+#REF!</f>
        <v>#REF!</v>
      </c>
      <c r="I544" s="6" t="s">
        <v>776</v>
      </c>
      <c r="J544" s="53" t="e">
        <f>#REF!*Tablo1[[#This Row],[Esans]]</f>
        <v>#REF!</v>
      </c>
      <c r="K544" s="53" t="e">
        <f>#REF!*Tablo1[[#This Row],[Su]]</f>
        <v>#REF!</v>
      </c>
      <c r="L544" s="53" t="e">
        <f>#REF!*Tablo1[[#This Row],[Alkol]]</f>
        <v>#REF!</v>
      </c>
      <c r="M544" s="46"/>
      <c r="N544" s="53">
        <f>(Tablo1[[#This Row],[KALAN ESANS]]/Tablo1[[#This Row],[Esans]]*0.01)*(Tablo1[[#This Row],[Alkol]]*100)</f>
        <v>0</v>
      </c>
      <c r="O544" s="53">
        <f>(Tablo1[[#This Row],[KALAN ESANS]]/Tablo1[[#This Row],[Esans]]*0.01)*(Tablo1[[#This Row],[Su]]*100)</f>
        <v>0</v>
      </c>
      <c r="P544" s="53">
        <f>Tablo1[[#This Row],[KALAN ESANS]]+Tablo1[[#This Row],[ALKOL Mik]]+Tablo1[[#This Row],[SU Mik]]</f>
        <v>0</v>
      </c>
    </row>
    <row r="545" spans="1:16" ht="15" customHeight="1" x14ac:dyDescent="0.2">
      <c r="A545" s="20" t="s">
        <v>560</v>
      </c>
      <c r="B545" s="37"/>
      <c r="C545" s="3">
        <v>0.2</v>
      </c>
      <c r="D545" s="3">
        <v>0.02</v>
      </c>
      <c r="E545" s="9">
        <f t="shared" si="8"/>
        <v>0.78</v>
      </c>
      <c r="F545" s="6" t="s">
        <v>25</v>
      </c>
      <c r="G545" s="6" t="s">
        <v>770</v>
      </c>
      <c r="H545" s="59" t="e">
        <f>((Tablo1[[#This Row],[Esans Fiyat]]/#REF!*Tablo1[[#This Row],[Esans]]*100)+(#REF!/1000*Tablo1[[#This Row],[Su]]*100)+(#REF!/1000*Tablo1[[#This Row],[Alkol]]*100))*(#REF!/100)+#REF!</f>
        <v>#REF!</v>
      </c>
      <c r="I545" s="6" t="s">
        <v>776</v>
      </c>
      <c r="J545" s="53" t="e">
        <f>#REF!*Tablo1[[#This Row],[Esans]]</f>
        <v>#REF!</v>
      </c>
      <c r="K545" s="53" t="e">
        <f>#REF!*Tablo1[[#This Row],[Su]]</f>
        <v>#REF!</v>
      </c>
      <c r="L545" s="53" t="e">
        <f>#REF!*Tablo1[[#This Row],[Alkol]]</f>
        <v>#REF!</v>
      </c>
      <c r="M545" s="46"/>
      <c r="N545" s="53">
        <f>(Tablo1[[#This Row],[KALAN ESANS]]/Tablo1[[#This Row],[Esans]]*0.01)*(Tablo1[[#This Row],[Alkol]]*100)</f>
        <v>0</v>
      </c>
      <c r="O545" s="53">
        <f>(Tablo1[[#This Row],[KALAN ESANS]]/Tablo1[[#This Row],[Esans]]*0.01)*(Tablo1[[#This Row],[Su]]*100)</f>
        <v>0</v>
      </c>
      <c r="P545" s="53">
        <f>Tablo1[[#This Row],[KALAN ESANS]]+Tablo1[[#This Row],[ALKOL Mik]]+Tablo1[[#This Row],[SU Mik]]</f>
        <v>0</v>
      </c>
    </row>
    <row r="546" spans="1:16" ht="15" customHeight="1" x14ac:dyDescent="0.2">
      <c r="A546" s="20" t="s">
        <v>563</v>
      </c>
      <c r="B546" s="37"/>
      <c r="C546" s="3">
        <v>0.2</v>
      </c>
      <c r="D546" s="3">
        <v>0.02</v>
      </c>
      <c r="E546" s="9">
        <f t="shared" si="8"/>
        <v>0.78</v>
      </c>
      <c r="F546" s="6" t="s">
        <v>25</v>
      </c>
      <c r="G546" s="6" t="s">
        <v>770</v>
      </c>
      <c r="H546" s="59" t="e">
        <f>((Tablo1[[#This Row],[Esans Fiyat]]/#REF!*Tablo1[[#This Row],[Esans]]*100)+(#REF!/1000*Tablo1[[#This Row],[Su]]*100)+(#REF!/1000*Tablo1[[#This Row],[Alkol]]*100))*(#REF!/100)+#REF!</f>
        <v>#REF!</v>
      </c>
      <c r="I546" s="6" t="s">
        <v>776</v>
      </c>
      <c r="J546" s="53" t="e">
        <f>#REF!*Tablo1[[#This Row],[Esans]]</f>
        <v>#REF!</v>
      </c>
      <c r="K546" s="53" t="e">
        <f>#REF!*Tablo1[[#This Row],[Su]]</f>
        <v>#REF!</v>
      </c>
      <c r="L546" s="53" t="e">
        <f>#REF!*Tablo1[[#This Row],[Alkol]]</f>
        <v>#REF!</v>
      </c>
      <c r="M546" s="46"/>
      <c r="N546" s="53">
        <f>(Tablo1[[#This Row],[KALAN ESANS]]/Tablo1[[#This Row],[Esans]]*0.01)*(Tablo1[[#This Row],[Alkol]]*100)</f>
        <v>0</v>
      </c>
      <c r="O546" s="53">
        <f>(Tablo1[[#This Row],[KALAN ESANS]]/Tablo1[[#This Row],[Esans]]*0.01)*(Tablo1[[#This Row],[Su]]*100)</f>
        <v>0</v>
      </c>
      <c r="P546" s="53">
        <f>Tablo1[[#This Row],[KALAN ESANS]]+Tablo1[[#This Row],[ALKOL Mik]]+Tablo1[[#This Row],[SU Mik]]</f>
        <v>0</v>
      </c>
    </row>
    <row r="547" spans="1:16" ht="15" customHeight="1" x14ac:dyDescent="0.2">
      <c r="A547" s="20" t="s">
        <v>757</v>
      </c>
      <c r="B547" s="37"/>
      <c r="C547" s="3">
        <v>0.15</v>
      </c>
      <c r="D547" s="3">
        <v>0.02</v>
      </c>
      <c r="E547" s="9">
        <f t="shared" si="8"/>
        <v>0.83</v>
      </c>
      <c r="F547" s="6" t="s">
        <v>28</v>
      </c>
      <c r="G547" s="6" t="s">
        <v>770</v>
      </c>
      <c r="H547" s="59" t="e">
        <f>((Tablo1[[#This Row],[Esans Fiyat]]/#REF!*Tablo1[[#This Row],[Esans]]*100)+(#REF!/1000*Tablo1[[#This Row],[Su]]*100)+(#REF!/1000*Tablo1[[#This Row],[Alkol]]*100))*(#REF!/100)+#REF!</f>
        <v>#REF!</v>
      </c>
      <c r="I547" s="6" t="s">
        <v>776</v>
      </c>
      <c r="J547" s="53" t="e">
        <f>#REF!*Tablo1[[#This Row],[Esans]]</f>
        <v>#REF!</v>
      </c>
      <c r="K547" s="53" t="e">
        <f>#REF!*Tablo1[[#This Row],[Su]]</f>
        <v>#REF!</v>
      </c>
      <c r="L547" s="53" t="e">
        <f>#REF!*Tablo1[[#This Row],[Alkol]]</f>
        <v>#REF!</v>
      </c>
      <c r="M547" s="46"/>
      <c r="N547" s="53">
        <f>(Tablo1[[#This Row],[KALAN ESANS]]/Tablo1[[#This Row],[Esans]]*0.01)*(Tablo1[[#This Row],[Alkol]]*100)</f>
        <v>0</v>
      </c>
      <c r="O547" s="53">
        <f>(Tablo1[[#This Row],[KALAN ESANS]]/Tablo1[[#This Row],[Esans]]*0.01)*(Tablo1[[#This Row],[Su]]*100)</f>
        <v>0</v>
      </c>
      <c r="P547" s="53">
        <f>Tablo1[[#This Row],[KALAN ESANS]]+Tablo1[[#This Row],[ALKOL Mik]]+Tablo1[[#This Row],[SU Mik]]</f>
        <v>0</v>
      </c>
    </row>
    <row r="548" spans="1:16" ht="15" customHeight="1" x14ac:dyDescent="0.2">
      <c r="A548" s="20" t="s">
        <v>756</v>
      </c>
      <c r="B548" s="37"/>
      <c r="C548" s="3">
        <v>0.2</v>
      </c>
      <c r="D548" s="3">
        <v>0</v>
      </c>
      <c r="E548" s="9">
        <f t="shared" si="8"/>
        <v>0.8</v>
      </c>
      <c r="F548" s="6" t="s">
        <v>25</v>
      </c>
      <c r="G548" s="6" t="s">
        <v>770</v>
      </c>
      <c r="H548" s="59" t="e">
        <f>((Tablo1[[#This Row],[Esans Fiyat]]/#REF!*Tablo1[[#This Row],[Esans]]*100)+(#REF!/1000*Tablo1[[#This Row],[Su]]*100)+(#REF!/1000*Tablo1[[#This Row],[Alkol]]*100))*(#REF!/100)+#REF!</f>
        <v>#REF!</v>
      </c>
      <c r="I548" s="6" t="s">
        <v>776</v>
      </c>
      <c r="J548" s="53" t="e">
        <f>#REF!*Tablo1[[#This Row],[Esans]]</f>
        <v>#REF!</v>
      </c>
      <c r="K548" s="53" t="e">
        <f>#REF!*Tablo1[[#This Row],[Su]]</f>
        <v>#REF!</v>
      </c>
      <c r="L548" s="53" t="e">
        <f>#REF!*Tablo1[[#This Row],[Alkol]]</f>
        <v>#REF!</v>
      </c>
      <c r="M548" s="46"/>
      <c r="N548" s="53">
        <f>(Tablo1[[#This Row],[KALAN ESANS]]/Tablo1[[#This Row],[Esans]]*0.01)*(Tablo1[[#This Row],[Alkol]]*100)</f>
        <v>0</v>
      </c>
      <c r="O548" s="53">
        <f>(Tablo1[[#This Row],[KALAN ESANS]]/Tablo1[[#This Row],[Esans]]*0.01)*(Tablo1[[#This Row],[Su]]*100)</f>
        <v>0</v>
      </c>
      <c r="P548" s="53">
        <f>Tablo1[[#This Row],[KALAN ESANS]]+Tablo1[[#This Row],[ALKOL Mik]]+Tablo1[[#This Row],[SU Mik]]</f>
        <v>0</v>
      </c>
    </row>
    <row r="549" spans="1:16" ht="15" customHeight="1" x14ac:dyDescent="0.2">
      <c r="A549" s="20" t="s">
        <v>755</v>
      </c>
      <c r="B549" s="37"/>
      <c r="C549" s="3">
        <v>0.23</v>
      </c>
      <c r="D549" s="3">
        <v>0.02</v>
      </c>
      <c r="E549" s="9">
        <f t="shared" si="8"/>
        <v>0.75</v>
      </c>
      <c r="F549" s="6" t="s">
        <v>25</v>
      </c>
      <c r="G549" s="6" t="s">
        <v>770</v>
      </c>
      <c r="H549" s="59" t="e">
        <f>((Tablo1[[#This Row],[Esans Fiyat]]/#REF!*Tablo1[[#This Row],[Esans]]*100)+(#REF!/1000*Tablo1[[#This Row],[Su]]*100)+(#REF!/1000*Tablo1[[#This Row],[Alkol]]*100))*(#REF!/100)+#REF!</f>
        <v>#REF!</v>
      </c>
      <c r="I549" s="6" t="s">
        <v>772</v>
      </c>
      <c r="J549" s="53" t="e">
        <f>#REF!*Tablo1[[#This Row],[Esans]]</f>
        <v>#REF!</v>
      </c>
      <c r="K549" s="53" t="e">
        <f>#REF!*Tablo1[[#This Row],[Su]]</f>
        <v>#REF!</v>
      </c>
      <c r="L549" s="53" t="e">
        <f>#REF!*Tablo1[[#This Row],[Alkol]]</f>
        <v>#REF!</v>
      </c>
      <c r="M549" s="46"/>
      <c r="N549" s="53">
        <f>(Tablo1[[#This Row],[KALAN ESANS]]/Tablo1[[#This Row],[Esans]]*0.01)*(Tablo1[[#This Row],[Alkol]]*100)</f>
        <v>0</v>
      </c>
      <c r="O549" s="53">
        <f>(Tablo1[[#This Row],[KALAN ESANS]]/Tablo1[[#This Row],[Esans]]*0.01)*(Tablo1[[#This Row],[Su]]*100)</f>
        <v>0</v>
      </c>
      <c r="P549" s="53">
        <f>Tablo1[[#This Row],[KALAN ESANS]]+Tablo1[[#This Row],[ALKOL Mik]]+Tablo1[[#This Row],[SU Mik]]</f>
        <v>0</v>
      </c>
    </row>
    <row r="550" spans="1:16" ht="15" customHeight="1" x14ac:dyDescent="0.2">
      <c r="A550" s="20" t="s">
        <v>754</v>
      </c>
      <c r="B550" s="37"/>
      <c r="C550" s="3">
        <v>0.2</v>
      </c>
      <c r="D550" s="3">
        <v>0.02</v>
      </c>
      <c r="E550" s="9">
        <f t="shared" si="8"/>
        <v>0.78</v>
      </c>
      <c r="F550" s="6" t="s">
        <v>25</v>
      </c>
      <c r="G550" s="6" t="s">
        <v>770</v>
      </c>
      <c r="H550" s="59" t="e">
        <f>((Tablo1[[#This Row],[Esans Fiyat]]/#REF!*Tablo1[[#This Row],[Esans]]*100)+(#REF!/1000*Tablo1[[#This Row],[Su]]*100)+(#REF!/1000*Tablo1[[#This Row],[Alkol]]*100))*(#REF!/100)+#REF!</f>
        <v>#REF!</v>
      </c>
      <c r="I550" s="6" t="s">
        <v>776</v>
      </c>
      <c r="J550" s="53" t="e">
        <f>#REF!*Tablo1[[#This Row],[Esans]]</f>
        <v>#REF!</v>
      </c>
      <c r="K550" s="53" t="e">
        <f>#REF!*Tablo1[[#This Row],[Su]]</f>
        <v>#REF!</v>
      </c>
      <c r="L550" s="53" t="e">
        <f>#REF!*Tablo1[[#This Row],[Alkol]]</f>
        <v>#REF!</v>
      </c>
      <c r="M550" s="46"/>
      <c r="N550" s="53">
        <f>(Tablo1[[#This Row],[KALAN ESANS]]/Tablo1[[#This Row],[Esans]]*0.01)*(Tablo1[[#This Row],[Alkol]]*100)</f>
        <v>0</v>
      </c>
      <c r="O550" s="53">
        <f>(Tablo1[[#This Row],[KALAN ESANS]]/Tablo1[[#This Row],[Esans]]*0.01)*(Tablo1[[#This Row],[Su]]*100)</f>
        <v>0</v>
      </c>
      <c r="P550" s="53">
        <f>Tablo1[[#This Row],[KALAN ESANS]]+Tablo1[[#This Row],[ALKOL Mik]]+Tablo1[[#This Row],[SU Mik]]</f>
        <v>0</v>
      </c>
    </row>
    <row r="551" spans="1:16" ht="15" customHeight="1" x14ac:dyDescent="0.2">
      <c r="A551" s="20" t="s">
        <v>753</v>
      </c>
      <c r="B551" s="37"/>
      <c r="C551" s="3">
        <v>0.18</v>
      </c>
      <c r="D551" s="3">
        <v>0.02</v>
      </c>
      <c r="E551" s="9">
        <f t="shared" si="8"/>
        <v>0.8</v>
      </c>
      <c r="F551" s="6" t="s">
        <v>25</v>
      </c>
      <c r="G551" s="6" t="s">
        <v>770</v>
      </c>
      <c r="H551" s="59" t="e">
        <f>((Tablo1[[#This Row],[Esans Fiyat]]/#REF!*Tablo1[[#This Row],[Esans]]*100)+(#REF!/1000*Tablo1[[#This Row],[Su]]*100)+(#REF!/1000*Tablo1[[#This Row],[Alkol]]*100))*(#REF!/100)+#REF!</f>
        <v>#REF!</v>
      </c>
      <c r="I551" s="6" t="s">
        <v>772</v>
      </c>
      <c r="J551" s="53" t="e">
        <f>#REF!*Tablo1[[#This Row],[Esans]]</f>
        <v>#REF!</v>
      </c>
      <c r="K551" s="53" t="e">
        <f>#REF!*Tablo1[[#This Row],[Su]]</f>
        <v>#REF!</v>
      </c>
      <c r="L551" s="53" t="e">
        <f>#REF!*Tablo1[[#This Row],[Alkol]]</f>
        <v>#REF!</v>
      </c>
      <c r="M551" s="46"/>
      <c r="N551" s="53">
        <f>(Tablo1[[#This Row],[KALAN ESANS]]/Tablo1[[#This Row],[Esans]]*0.01)*(Tablo1[[#This Row],[Alkol]]*100)</f>
        <v>0</v>
      </c>
      <c r="O551" s="53">
        <f>(Tablo1[[#This Row],[KALAN ESANS]]/Tablo1[[#This Row],[Esans]]*0.01)*(Tablo1[[#This Row],[Su]]*100)</f>
        <v>0</v>
      </c>
      <c r="P551" s="53">
        <f>Tablo1[[#This Row],[KALAN ESANS]]+Tablo1[[#This Row],[ALKOL Mik]]+Tablo1[[#This Row],[SU Mik]]</f>
        <v>0</v>
      </c>
    </row>
    <row r="552" spans="1:16" ht="15" customHeight="1" x14ac:dyDescent="0.2">
      <c r="A552" s="20" t="s">
        <v>752</v>
      </c>
      <c r="B552" s="37"/>
      <c r="C552" s="3">
        <v>0.2</v>
      </c>
      <c r="D552" s="3">
        <v>0.02</v>
      </c>
      <c r="E552" s="9">
        <f t="shared" si="8"/>
        <v>0.78</v>
      </c>
      <c r="F552" s="6" t="s">
        <v>25</v>
      </c>
      <c r="G552" s="6" t="s">
        <v>770</v>
      </c>
      <c r="H552" s="59" t="e">
        <f>((Tablo1[[#This Row],[Esans Fiyat]]/#REF!*Tablo1[[#This Row],[Esans]]*100)+(#REF!/1000*Tablo1[[#This Row],[Su]]*100)+(#REF!/1000*Tablo1[[#This Row],[Alkol]]*100))*(#REF!/100)+#REF!</f>
        <v>#REF!</v>
      </c>
      <c r="I552" s="6" t="s">
        <v>776</v>
      </c>
      <c r="J552" s="53" t="e">
        <f>#REF!*Tablo1[[#This Row],[Esans]]</f>
        <v>#REF!</v>
      </c>
      <c r="K552" s="53" t="e">
        <f>#REF!*Tablo1[[#This Row],[Su]]</f>
        <v>#REF!</v>
      </c>
      <c r="L552" s="53" t="e">
        <f>#REF!*Tablo1[[#This Row],[Alkol]]</f>
        <v>#REF!</v>
      </c>
      <c r="M552" s="46"/>
      <c r="N552" s="53">
        <f>(Tablo1[[#This Row],[KALAN ESANS]]/Tablo1[[#This Row],[Esans]]*0.01)*(Tablo1[[#This Row],[Alkol]]*100)</f>
        <v>0</v>
      </c>
      <c r="O552" s="53">
        <f>(Tablo1[[#This Row],[KALAN ESANS]]/Tablo1[[#This Row],[Esans]]*0.01)*(Tablo1[[#This Row],[Su]]*100)</f>
        <v>0</v>
      </c>
      <c r="P552" s="53">
        <f>Tablo1[[#This Row],[KALAN ESANS]]+Tablo1[[#This Row],[ALKOL Mik]]+Tablo1[[#This Row],[SU Mik]]</f>
        <v>0</v>
      </c>
    </row>
    <row r="553" spans="1:16" ht="15" customHeight="1" x14ac:dyDescent="0.2">
      <c r="A553" s="20" t="s">
        <v>747</v>
      </c>
      <c r="B553" s="37"/>
      <c r="C553" s="3">
        <v>0.2</v>
      </c>
      <c r="D553" s="3">
        <v>0.02</v>
      </c>
      <c r="E553" s="9">
        <f t="shared" si="8"/>
        <v>0.78</v>
      </c>
      <c r="F553" s="6" t="s">
        <v>25</v>
      </c>
      <c r="G553" s="6" t="s">
        <v>770</v>
      </c>
      <c r="H553" s="59" t="e">
        <f>((Tablo1[[#This Row],[Esans Fiyat]]/#REF!*Tablo1[[#This Row],[Esans]]*100)+(#REF!/1000*Tablo1[[#This Row],[Su]]*100)+(#REF!/1000*Tablo1[[#This Row],[Alkol]]*100))*(#REF!/100)+#REF!</f>
        <v>#REF!</v>
      </c>
      <c r="I553" s="6" t="s">
        <v>776</v>
      </c>
      <c r="J553" s="53" t="e">
        <f>#REF!*Tablo1[[#This Row],[Esans]]</f>
        <v>#REF!</v>
      </c>
      <c r="K553" s="53" t="e">
        <f>#REF!*Tablo1[[#This Row],[Su]]</f>
        <v>#REF!</v>
      </c>
      <c r="L553" s="53" t="e">
        <f>#REF!*Tablo1[[#This Row],[Alkol]]</f>
        <v>#REF!</v>
      </c>
      <c r="M553" s="46"/>
      <c r="N553" s="53">
        <f>(Tablo1[[#This Row],[KALAN ESANS]]/Tablo1[[#This Row],[Esans]]*0.01)*(Tablo1[[#This Row],[Alkol]]*100)</f>
        <v>0</v>
      </c>
      <c r="O553" s="53">
        <f>(Tablo1[[#This Row],[KALAN ESANS]]/Tablo1[[#This Row],[Esans]]*0.01)*(Tablo1[[#This Row],[Su]]*100)</f>
        <v>0</v>
      </c>
      <c r="P553" s="53">
        <f>Tablo1[[#This Row],[KALAN ESANS]]+Tablo1[[#This Row],[ALKOL Mik]]+Tablo1[[#This Row],[SU Mik]]</f>
        <v>0</v>
      </c>
    </row>
    <row r="554" spans="1:16" ht="15" customHeight="1" x14ac:dyDescent="0.2">
      <c r="A554" s="20" t="s">
        <v>748</v>
      </c>
      <c r="B554" s="37"/>
      <c r="C554" s="3">
        <v>0.17</v>
      </c>
      <c r="D554" s="3">
        <v>0.02</v>
      </c>
      <c r="E554" s="9">
        <f t="shared" si="8"/>
        <v>0.80999999999999994</v>
      </c>
      <c r="F554" s="6" t="s">
        <v>25</v>
      </c>
      <c r="G554" s="6" t="s">
        <v>770</v>
      </c>
      <c r="H554" s="59" t="e">
        <f>((Tablo1[[#This Row],[Esans Fiyat]]/#REF!*Tablo1[[#This Row],[Esans]]*100)+(#REF!/1000*Tablo1[[#This Row],[Su]]*100)+(#REF!/1000*Tablo1[[#This Row],[Alkol]]*100))*(#REF!/100)+#REF!</f>
        <v>#REF!</v>
      </c>
      <c r="I554" s="6" t="s">
        <v>772</v>
      </c>
      <c r="J554" s="53" t="e">
        <f>#REF!*Tablo1[[#This Row],[Esans]]</f>
        <v>#REF!</v>
      </c>
      <c r="K554" s="53" t="e">
        <f>#REF!*Tablo1[[#This Row],[Su]]</f>
        <v>#REF!</v>
      </c>
      <c r="L554" s="53" t="e">
        <f>#REF!*Tablo1[[#This Row],[Alkol]]</f>
        <v>#REF!</v>
      </c>
      <c r="M554" s="46"/>
      <c r="N554" s="53">
        <f>(Tablo1[[#This Row],[KALAN ESANS]]/Tablo1[[#This Row],[Esans]]*0.01)*(Tablo1[[#This Row],[Alkol]]*100)</f>
        <v>0</v>
      </c>
      <c r="O554" s="53">
        <f>(Tablo1[[#This Row],[KALAN ESANS]]/Tablo1[[#This Row],[Esans]]*0.01)*(Tablo1[[#This Row],[Su]]*100)</f>
        <v>0</v>
      </c>
      <c r="P554" s="53">
        <f>Tablo1[[#This Row],[KALAN ESANS]]+Tablo1[[#This Row],[ALKOL Mik]]+Tablo1[[#This Row],[SU Mik]]</f>
        <v>0</v>
      </c>
    </row>
    <row r="555" spans="1:16" ht="15" customHeight="1" x14ac:dyDescent="0.2">
      <c r="A555" s="20" t="s">
        <v>746</v>
      </c>
      <c r="B555" s="37"/>
      <c r="C555" s="3">
        <v>0.2</v>
      </c>
      <c r="D555" s="3">
        <v>0.02</v>
      </c>
      <c r="E555" s="9">
        <f t="shared" si="8"/>
        <v>0.78</v>
      </c>
      <c r="F555" s="6" t="s">
        <v>25</v>
      </c>
      <c r="G555" s="6" t="s">
        <v>770</v>
      </c>
      <c r="H555" s="59" t="e">
        <f>((Tablo1[[#This Row],[Esans Fiyat]]/#REF!*Tablo1[[#This Row],[Esans]]*100)+(#REF!/1000*Tablo1[[#This Row],[Su]]*100)+(#REF!/1000*Tablo1[[#This Row],[Alkol]]*100))*(#REF!/100)+#REF!</f>
        <v>#REF!</v>
      </c>
      <c r="I555" s="6" t="s">
        <v>776</v>
      </c>
      <c r="J555" s="53" t="e">
        <f>#REF!*Tablo1[[#This Row],[Esans]]</f>
        <v>#REF!</v>
      </c>
      <c r="K555" s="53" t="e">
        <f>#REF!*Tablo1[[#This Row],[Su]]</f>
        <v>#REF!</v>
      </c>
      <c r="L555" s="53" t="e">
        <f>#REF!*Tablo1[[#This Row],[Alkol]]</f>
        <v>#REF!</v>
      </c>
      <c r="M555" s="46"/>
      <c r="N555" s="53">
        <f>(Tablo1[[#This Row],[KALAN ESANS]]/Tablo1[[#This Row],[Esans]]*0.01)*(Tablo1[[#This Row],[Alkol]]*100)</f>
        <v>0</v>
      </c>
      <c r="O555" s="53">
        <f>(Tablo1[[#This Row],[KALAN ESANS]]/Tablo1[[#This Row],[Esans]]*0.01)*(Tablo1[[#This Row],[Su]]*100)</f>
        <v>0</v>
      </c>
      <c r="P555" s="53">
        <f>Tablo1[[#This Row],[KALAN ESANS]]+Tablo1[[#This Row],[ALKOL Mik]]+Tablo1[[#This Row],[SU Mik]]</f>
        <v>0</v>
      </c>
    </row>
    <row r="556" spans="1:16" ht="15" customHeight="1" x14ac:dyDescent="0.2">
      <c r="A556" s="20" t="s">
        <v>750</v>
      </c>
      <c r="B556" s="37"/>
      <c r="C556" s="3">
        <v>0.2</v>
      </c>
      <c r="D556" s="3">
        <v>0.02</v>
      </c>
      <c r="E556" s="9">
        <f t="shared" si="8"/>
        <v>0.78</v>
      </c>
      <c r="F556" s="6" t="s">
        <v>25</v>
      </c>
      <c r="G556" s="6" t="s">
        <v>770</v>
      </c>
      <c r="H556" s="59" t="e">
        <f>((Tablo1[[#This Row],[Esans Fiyat]]/#REF!*Tablo1[[#This Row],[Esans]]*100)+(#REF!/1000*Tablo1[[#This Row],[Su]]*100)+(#REF!/1000*Tablo1[[#This Row],[Alkol]]*100))*(#REF!/100)+#REF!</f>
        <v>#REF!</v>
      </c>
      <c r="I556" s="6" t="s">
        <v>776</v>
      </c>
      <c r="J556" s="53" t="e">
        <f>#REF!*Tablo1[[#This Row],[Esans]]</f>
        <v>#REF!</v>
      </c>
      <c r="K556" s="53" t="e">
        <f>#REF!*Tablo1[[#This Row],[Su]]</f>
        <v>#REF!</v>
      </c>
      <c r="L556" s="53" t="e">
        <f>#REF!*Tablo1[[#This Row],[Alkol]]</f>
        <v>#REF!</v>
      </c>
      <c r="M556" s="46"/>
      <c r="N556" s="53">
        <f>(Tablo1[[#This Row],[KALAN ESANS]]/Tablo1[[#This Row],[Esans]]*0.01)*(Tablo1[[#This Row],[Alkol]]*100)</f>
        <v>0</v>
      </c>
      <c r="O556" s="53">
        <f>(Tablo1[[#This Row],[KALAN ESANS]]/Tablo1[[#This Row],[Esans]]*0.01)*(Tablo1[[#This Row],[Su]]*100)</f>
        <v>0</v>
      </c>
      <c r="P556" s="53">
        <f>Tablo1[[#This Row],[KALAN ESANS]]+Tablo1[[#This Row],[ALKOL Mik]]+Tablo1[[#This Row],[SU Mik]]</f>
        <v>0</v>
      </c>
    </row>
    <row r="557" spans="1:16" ht="15" customHeight="1" x14ac:dyDescent="0.2">
      <c r="A557" s="20" t="s">
        <v>751</v>
      </c>
      <c r="B557" s="37"/>
      <c r="C557" s="3">
        <v>0.16</v>
      </c>
      <c r="D557" s="3">
        <v>0.02</v>
      </c>
      <c r="E557" s="9">
        <f t="shared" si="8"/>
        <v>0.82</v>
      </c>
      <c r="F557" s="6" t="s">
        <v>25</v>
      </c>
      <c r="G557" s="6" t="s">
        <v>770</v>
      </c>
      <c r="H557" s="59" t="e">
        <f>((Tablo1[[#This Row],[Esans Fiyat]]/#REF!*Tablo1[[#This Row],[Esans]]*100)+(#REF!/1000*Tablo1[[#This Row],[Su]]*100)+(#REF!/1000*Tablo1[[#This Row],[Alkol]]*100))*(#REF!/100)+#REF!</f>
        <v>#REF!</v>
      </c>
      <c r="I557" s="6" t="s">
        <v>772</v>
      </c>
      <c r="J557" s="53" t="e">
        <f>#REF!*Tablo1[[#This Row],[Esans]]</f>
        <v>#REF!</v>
      </c>
      <c r="K557" s="53" t="e">
        <f>#REF!*Tablo1[[#This Row],[Su]]</f>
        <v>#REF!</v>
      </c>
      <c r="L557" s="53" t="e">
        <f>#REF!*Tablo1[[#This Row],[Alkol]]</f>
        <v>#REF!</v>
      </c>
      <c r="M557" s="46"/>
      <c r="N557" s="53">
        <f>(Tablo1[[#This Row],[KALAN ESANS]]/Tablo1[[#This Row],[Esans]]*0.01)*(Tablo1[[#This Row],[Alkol]]*100)</f>
        <v>0</v>
      </c>
      <c r="O557" s="53">
        <f>(Tablo1[[#This Row],[KALAN ESANS]]/Tablo1[[#This Row],[Esans]]*0.01)*(Tablo1[[#This Row],[Su]]*100)</f>
        <v>0</v>
      </c>
      <c r="P557" s="53">
        <f>Tablo1[[#This Row],[KALAN ESANS]]+Tablo1[[#This Row],[ALKOL Mik]]+Tablo1[[#This Row],[SU Mik]]</f>
        <v>0</v>
      </c>
    </row>
    <row r="558" spans="1:16" ht="15" customHeight="1" x14ac:dyDescent="0.2">
      <c r="A558" s="20" t="s">
        <v>749</v>
      </c>
      <c r="B558" s="37"/>
      <c r="C558" s="3">
        <v>0.17</v>
      </c>
      <c r="D558" s="3">
        <v>0.02</v>
      </c>
      <c r="E558" s="9">
        <f t="shared" si="8"/>
        <v>0.80999999999999994</v>
      </c>
      <c r="F558" s="6" t="s">
        <v>25</v>
      </c>
      <c r="G558" s="6" t="s">
        <v>770</v>
      </c>
      <c r="H558" s="59" t="e">
        <f>((Tablo1[[#This Row],[Esans Fiyat]]/#REF!*Tablo1[[#This Row],[Esans]]*100)+(#REF!/1000*Tablo1[[#This Row],[Su]]*100)+(#REF!/1000*Tablo1[[#This Row],[Alkol]]*100))*(#REF!/100)+#REF!</f>
        <v>#REF!</v>
      </c>
      <c r="I558" s="6" t="s">
        <v>772</v>
      </c>
      <c r="J558" s="53" t="e">
        <f>#REF!*Tablo1[[#This Row],[Esans]]</f>
        <v>#REF!</v>
      </c>
      <c r="K558" s="53" t="e">
        <f>#REF!*Tablo1[[#This Row],[Su]]</f>
        <v>#REF!</v>
      </c>
      <c r="L558" s="53" t="e">
        <f>#REF!*Tablo1[[#This Row],[Alkol]]</f>
        <v>#REF!</v>
      </c>
      <c r="M558" s="46"/>
      <c r="N558" s="53">
        <f>(Tablo1[[#This Row],[KALAN ESANS]]/Tablo1[[#This Row],[Esans]]*0.01)*(Tablo1[[#This Row],[Alkol]]*100)</f>
        <v>0</v>
      </c>
      <c r="O558" s="53">
        <f>(Tablo1[[#This Row],[KALAN ESANS]]/Tablo1[[#This Row],[Esans]]*0.01)*(Tablo1[[#This Row],[Su]]*100)</f>
        <v>0</v>
      </c>
      <c r="P558" s="53">
        <f>Tablo1[[#This Row],[KALAN ESANS]]+Tablo1[[#This Row],[ALKOL Mik]]+Tablo1[[#This Row],[SU Mik]]</f>
        <v>0</v>
      </c>
    </row>
    <row r="559" spans="1:16" ht="15" customHeight="1" x14ac:dyDescent="0.2">
      <c r="A559" s="20" t="s">
        <v>745</v>
      </c>
      <c r="B559" s="37"/>
      <c r="C559" s="3">
        <v>0.2</v>
      </c>
      <c r="D559" s="3">
        <v>0.02</v>
      </c>
      <c r="E559" s="9">
        <f t="shared" si="8"/>
        <v>0.78</v>
      </c>
      <c r="F559" s="6" t="s">
        <v>25</v>
      </c>
      <c r="G559" s="6" t="s">
        <v>770</v>
      </c>
      <c r="H559" s="59" t="e">
        <f>((Tablo1[[#This Row],[Esans Fiyat]]/#REF!*Tablo1[[#This Row],[Esans]]*100)+(#REF!/1000*Tablo1[[#This Row],[Su]]*100)+(#REF!/1000*Tablo1[[#This Row],[Alkol]]*100))*(#REF!/100)+#REF!</f>
        <v>#REF!</v>
      </c>
      <c r="I559" s="6" t="s">
        <v>776</v>
      </c>
      <c r="J559" s="53" t="e">
        <f>#REF!*Tablo1[[#This Row],[Esans]]</f>
        <v>#REF!</v>
      </c>
      <c r="K559" s="53" t="e">
        <f>#REF!*Tablo1[[#This Row],[Su]]</f>
        <v>#REF!</v>
      </c>
      <c r="L559" s="53" t="e">
        <f>#REF!*Tablo1[[#This Row],[Alkol]]</f>
        <v>#REF!</v>
      </c>
      <c r="M559" s="46"/>
      <c r="N559" s="53">
        <f>(Tablo1[[#This Row],[KALAN ESANS]]/Tablo1[[#This Row],[Esans]]*0.01)*(Tablo1[[#This Row],[Alkol]]*100)</f>
        <v>0</v>
      </c>
      <c r="O559" s="53">
        <f>(Tablo1[[#This Row],[KALAN ESANS]]/Tablo1[[#This Row],[Esans]]*0.01)*(Tablo1[[#This Row],[Su]]*100)</f>
        <v>0</v>
      </c>
      <c r="P559" s="53">
        <f>Tablo1[[#This Row],[KALAN ESANS]]+Tablo1[[#This Row],[ALKOL Mik]]+Tablo1[[#This Row],[SU Mik]]</f>
        <v>0</v>
      </c>
    </row>
    <row r="560" spans="1:16" ht="15" customHeight="1" x14ac:dyDescent="0.2">
      <c r="A560" s="20" t="s">
        <v>744</v>
      </c>
      <c r="B560" s="37"/>
      <c r="C560" s="3">
        <v>0.2</v>
      </c>
      <c r="D560" s="3">
        <v>0.02</v>
      </c>
      <c r="E560" s="9">
        <f t="shared" si="8"/>
        <v>0.78</v>
      </c>
      <c r="F560" s="6" t="s">
        <v>25</v>
      </c>
      <c r="G560" s="6" t="s">
        <v>770</v>
      </c>
      <c r="H560" s="59" t="e">
        <f>((Tablo1[[#This Row],[Esans Fiyat]]/#REF!*Tablo1[[#This Row],[Esans]]*100)+(#REF!/1000*Tablo1[[#This Row],[Su]]*100)+(#REF!/1000*Tablo1[[#This Row],[Alkol]]*100))*(#REF!/100)+#REF!</f>
        <v>#REF!</v>
      </c>
      <c r="I560" s="6" t="s">
        <v>776</v>
      </c>
      <c r="J560" s="53" t="e">
        <f>#REF!*Tablo1[[#This Row],[Esans]]</f>
        <v>#REF!</v>
      </c>
      <c r="K560" s="53" t="e">
        <f>#REF!*Tablo1[[#This Row],[Su]]</f>
        <v>#REF!</v>
      </c>
      <c r="L560" s="53" t="e">
        <f>#REF!*Tablo1[[#This Row],[Alkol]]</f>
        <v>#REF!</v>
      </c>
      <c r="M560" s="46"/>
      <c r="N560" s="53">
        <f>(Tablo1[[#This Row],[KALAN ESANS]]/Tablo1[[#This Row],[Esans]]*0.01)*(Tablo1[[#This Row],[Alkol]]*100)</f>
        <v>0</v>
      </c>
      <c r="O560" s="53">
        <f>(Tablo1[[#This Row],[KALAN ESANS]]/Tablo1[[#This Row],[Esans]]*0.01)*(Tablo1[[#This Row],[Su]]*100)</f>
        <v>0</v>
      </c>
      <c r="P560" s="53">
        <f>Tablo1[[#This Row],[KALAN ESANS]]+Tablo1[[#This Row],[ALKOL Mik]]+Tablo1[[#This Row],[SU Mik]]</f>
        <v>0</v>
      </c>
    </row>
    <row r="561" spans="1:16" ht="15" customHeight="1" x14ac:dyDescent="0.2">
      <c r="A561" s="20" t="s">
        <v>743</v>
      </c>
      <c r="B561" s="37"/>
      <c r="C561" s="3">
        <v>0.2</v>
      </c>
      <c r="D561" s="3">
        <v>0.02</v>
      </c>
      <c r="E561" s="9">
        <f t="shared" si="8"/>
        <v>0.78</v>
      </c>
      <c r="F561" s="6" t="s">
        <v>25</v>
      </c>
      <c r="G561" s="6" t="s">
        <v>770</v>
      </c>
      <c r="H561" s="59" t="e">
        <f>((Tablo1[[#This Row],[Esans Fiyat]]/#REF!*Tablo1[[#This Row],[Esans]]*100)+(#REF!/1000*Tablo1[[#This Row],[Su]]*100)+(#REF!/1000*Tablo1[[#This Row],[Alkol]]*100))*(#REF!/100)+#REF!</f>
        <v>#REF!</v>
      </c>
      <c r="I561" s="6" t="s">
        <v>776</v>
      </c>
      <c r="J561" s="53" t="e">
        <f>#REF!*Tablo1[[#This Row],[Esans]]</f>
        <v>#REF!</v>
      </c>
      <c r="K561" s="53" t="e">
        <f>#REF!*Tablo1[[#This Row],[Su]]</f>
        <v>#REF!</v>
      </c>
      <c r="L561" s="53" t="e">
        <f>#REF!*Tablo1[[#This Row],[Alkol]]</f>
        <v>#REF!</v>
      </c>
      <c r="M561" s="46"/>
      <c r="N561" s="53">
        <f>(Tablo1[[#This Row],[KALAN ESANS]]/Tablo1[[#This Row],[Esans]]*0.01)*(Tablo1[[#This Row],[Alkol]]*100)</f>
        <v>0</v>
      </c>
      <c r="O561" s="53">
        <f>(Tablo1[[#This Row],[KALAN ESANS]]/Tablo1[[#This Row],[Esans]]*0.01)*(Tablo1[[#This Row],[Su]]*100)</f>
        <v>0</v>
      </c>
      <c r="P561" s="53">
        <f>Tablo1[[#This Row],[KALAN ESANS]]+Tablo1[[#This Row],[ALKOL Mik]]+Tablo1[[#This Row],[SU Mik]]</f>
        <v>0</v>
      </c>
    </row>
    <row r="562" spans="1:16" ht="15" customHeight="1" x14ac:dyDescent="0.2">
      <c r="A562" s="20" t="s">
        <v>740</v>
      </c>
      <c r="B562" s="37"/>
      <c r="C562" s="3">
        <v>0.15</v>
      </c>
      <c r="D562" s="3">
        <v>0.02</v>
      </c>
      <c r="E562" s="9">
        <f t="shared" si="8"/>
        <v>0.83</v>
      </c>
      <c r="F562" s="6" t="s">
        <v>28</v>
      </c>
      <c r="G562" s="6" t="s">
        <v>770</v>
      </c>
      <c r="H562" s="59" t="e">
        <f>((Tablo1[[#This Row],[Esans Fiyat]]/#REF!*Tablo1[[#This Row],[Esans]]*100)+(#REF!/1000*Tablo1[[#This Row],[Su]]*100)+(#REF!/1000*Tablo1[[#This Row],[Alkol]]*100))*(#REF!/100)+#REF!</f>
        <v>#REF!</v>
      </c>
      <c r="I562" s="6" t="s">
        <v>776</v>
      </c>
      <c r="J562" s="53" t="e">
        <f>#REF!*Tablo1[[#This Row],[Esans]]</f>
        <v>#REF!</v>
      </c>
      <c r="K562" s="53" t="e">
        <f>#REF!*Tablo1[[#This Row],[Su]]</f>
        <v>#REF!</v>
      </c>
      <c r="L562" s="53" t="e">
        <f>#REF!*Tablo1[[#This Row],[Alkol]]</f>
        <v>#REF!</v>
      </c>
      <c r="M562" s="46"/>
      <c r="N562" s="53">
        <f>(Tablo1[[#This Row],[KALAN ESANS]]/Tablo1[[#This Row],[Esans]]*0.01)*(Tablo1[[#This Row],[Alkol]]*100)</f>
        <v>0</v>
      </c>
      <c r="O562" s="53">
        <f>(Tablo1[[#This Row],[KALAN ESANS]]/Tablo1[[#This Row],[Esans]]*0.01)*(Tablo1[[#This Row],[Su]]*100)</f>
        <v>0</v>
      </c>
      <c r="P562" s="53">
        <f>Tablo1[[#This Row],[KALAN ESANS]]+Tablo1[[#This Row],[ALKOL Mik]]+Tablo1[[#This Row],[SU Mik]]</f>
        <v>0</v>
      </c>
    </row>
    <row r="563" spans="1:16" ht="15" customHeight="1" x14ac:dyDescent="0.2">
      <c r="A563" s="20" t="s">
        <v>742</v>
      </c>
      <c r="B563" s="37"/>
      <c r="C563" s="3">
        <v>0.15</v>
      </c>
      <c r="D563" s="3">
        <v>0.02</v>
      </c>
      <c r="E563" s="9">
        <f t="shared" si="8"/>
        <v>0.83</v>
      </c>
      <c r="F563" s="6" t="s">
        <v>28</v>
      </c>
      <c r="G563" s="6" t="s">
        <v>770</v>
      </c>
      <c r="H563" s="59" t="e">
        <f>((Tablo1[[#This Row],[Esans Fiyat]]/#REF!*Tablo1[[#This Row],[Esans]]*100)+(#REF!/1000*Tablo1[[#This Row],[Su]]*100)+(#REF!/1000*Tablo1[[#This Row],[Alkol]]*100))*(#REF!/100)+#REF!</f>
        <v>#REF!</v>
      </c>
      <c r="I563" s="6" t="s">
        <v>776</v>
      </c>
      <c r="J563" s="53" t="e">
        <f>#REF!*Tablo1[[#This Row],[Esans]]</f>
        <v>#REF!</v>
      </c>
      <c r="K563" s="53" t="e">
        <f>#REF!*Tablo1[[#This Row],[Su]]</f>
        <v>#REF!</v>
      </c>
      <c r="L563" s="53" t="e">
        <f>#REF!*Tablo1[[#This Row],[Alkol]]</f>
        <v>#REF!</v>
      </c>
      <c r="M563" s="46"/>
      <c r="N563" s="53">
        <f>(Tablo1[[#This Row],[KALAN ESANS]]/Tablo1[[#This Row],[Esans]]*0.01)*(Tablo1[[#This Row],[Alkol]]*100)</f>
        <v>0</v>
      </c>
      <c r="O563" s="53">
        <f>(Tablo1[[#This Row],[KALAN ESANS]]/Tablo1[[#This Row],[Esans]]*0.01)*(Tablo1[[#This Row],[Su]]*100)</f>
        <v>0</v>
      </c>
      <c r="P563" s="53">
        <f>Tablo1[[#This Row],[KALAN ESANS]]+Tablo1[[#This Row],[ALKOL Mik]]+Tablo1[[#This Row],[SU Mik]]</f>
        <v>0</v>
      </c>
    </row>
    <row r="564" spans="1:16" ht="15" customHeight="1" x14ac:dyDescent="0.2">
      <c r="A564" s="20" t="s">
        <v>741</v>
      </c>
      <c r="B564" s="37"/>
      <c r="C564" s="3">
        <v>0.15</v>
      </c>
      <c r="D564" s="3">
        <v>0.02</v>
      </c>
      <c r="E564" s="9">
        <f t="shared" si="8"/>
        <v>0.83</v>
      </c>
      <c r="F564" s="6" t="s">
        <v>28</v>
      </c>
      <c r="G564" s="6" t="s">
        <v>770</v>
      </c>
      <c r="H564" s="59" t="e">
        <f>((Tablo1[[#This Row],[Esans Fiyat]]/#REF!*Tablo1[[#This Row],[Esans]]*100)+(#REF!/1000*Tablo1[[#This Row],[Su]]*100)+(#REF!/1000*Tablo1[[#This Row],[Alkol]]*100))*(#REF!/100)+#REF!</f>
        <v>#REF!</v>
      </c>
      <c r="I564" s="6" t="s">
        <v>776</v>
      </c>
      <c r="J564" s="53" t="e">
        <f>#REF!*Tablo1[[#This Row],[Esans]]</f>
        <v>#REF!</v>
      </c>
      <c r="K564" s="53" t="e">
        <f>#REF!*Tablo1[[#This Row],[Su]]</f>
        <v>#REF!</v>
      </c>
      <c r="L564" s="53" t="e">
        <f>#REF!*Tablo1[[#This Row],[Alkol]]</f>
        <v>#REF!</v>
      </c>
      <c r="M564" s="46"/>
      <c r="N564" s="53">
        <f>(Tablo1[[#This Row],[KALAN ESANS]]/Tablo1[[#This Row],[Esans]]*0.01)*(Tablo1[[#This Row],[Alkol]]*100)</f>
        <v>0</v>
      </c>
      <c r="O564" s="53">
        <f>(Tablo1[[#This Row],[KALAN ESANS]]/Tablo1[[#This Row],[Esans]]*0.01)*(Tablo1[[#This Row],[Su]]*100)</f>
        <v>0</v>
      </c>
      <c r="P564" s="53">
        <f>Tablo1[[#This Row],[KALAN ESANS]]+Tablo1[[#This Row],[ALKOL Mik]]+Tablo1[[#This Row],[SU Mik]]</f>
        <v>0</v>
      </c>
    </row>
    <row r="565" spans="1:16" ht="15" customHeight="1" x14ac:dyDescent="0.2">
      <c r="A565" s="20" t="s">
        <v>554</v>
      </c>
      <c r="B565" s="37"/>
      <c r="C565" s="3">
        <v>0.25</v>
      </c>
      <c r="D565" s="3">
        <v>0.02</v>
      </c>
      <c r="E565" s="9">
        <f t="shared" si="8"/>
        <v>0.73</v>
      </c>
      <c r="F565" s="6" t="s">
        <v>779</v>
      </c>
      <c r="G565" s="6" t="s">
        <v>770</v>
      </c>
      <c r="H565" s="59" t="e">
        <f>((Tablo1[[#This Row],[Esans Fiyat]]/#REF!*Tablo1[[#This Row],[Esans]]*100)+(#REF!/1000*Tablo1[[#This Row],[Su]]*100)+(#REF!/1000*Tablo1[[#This Row],[Alkol]]*100))*(#REF!/100)+#REF!</f>
        <v>#REF!</v>
      </c>
      <c r="I565" s="6" t="s">
        <v>774</v>
      </c>
      <c r="J565" s="53" t="e">
        <f>#REF!*Tablo1[[#This Row],[Esans]]</f>
        <v>#REF!</v>
      </c>
      <c r="K565" s="53" t="e">
        <f>#REF!*Tablo1[[#This Row],[Su]]</f>
        <v>#REF!</v>
      </c>
      <c r="L565" s="53" t="e">
        <f>#REF!*Tablo1[[#This Row],[Alkol]]</f>
        <v>#REF!</v>
      </c>
      <c r="M565" s="46"/>
      <c r="N565" s="53">
        <f>(Tablo1[[#This Row],[KALAN ESANS]]/Tablo1[[#This Row],[Esans]]*0.01)*(Tablo1[[#This Row],[Alkol]]*100)</f>
        <v>0</v>
      </c>
      <c r="O565" s="53">
        <f>(Tablo1[[#This Row],[KALAN ESANS]]/Tablo1[[#This Row],[Esans]]*0.01)*(Tablo1[[#This Row],[Su]]*100)</f>
        <v>0</v>
      </c>
      <c r="P565" s="53">
        <f>Tablo1[[#This Row],[KALAN ESANS]]+Tablo1[[#This Row],[ALKOL Mik]]+Tablo1[[#This Row],[SU Mik]]</f>
        <v>0</v>
      </c>
    </row>
    <row r="566" spans="1:16" ht="15" customHeight="1" x14ac:dyDescent="0.2">
      <c r="A566" s="20" t="s">
        <v>739</v>
      </c>
      <c r="B566" s="37"/>
      <c r="C566" s="3">
        <v>0.2</v>
      </c>
      <c r="D566" s="3">
        <v>0</v>
      </c>
      <c r="E566" s="9">
        <f t="shared" si="8"/>
        <v>0.8</v>
      </c>
      <c r="F566" s="6" t="s">
        <v>25</v>
      </c>
      <c r="G566" s="6" t="s">
        <v>770</v>
      </c>
      <c r="H566" s="59" t="e">
        <f>((Tablo1[[#This Row],[Esans Fiyat]]/#REF!*Tablo1[[#This Row],[Esans]]*100)+(#REF!/1000*Tablo1[[#This Row],[Su]]*100)+(#REF!/1000*Tablo1[[#This Row],[Alkol]]*100))*(#REF!/100)+#REF!</f>
        <v>#REF!</v>
      </c>
      <c r="I566" s="6" t="s">
        <v>776</v>
      </c>
      <c r="J566" s="53" t="e">
        <f>#REF!*Tablo1[[#This Row],[Esans]]</f>
        <v>#REF!</v>
      </c>
      <c r="K566" s="53" t="e">
        <f>#REF!*Tablo1[[#This Row],[Su]]</f>
        <v>#REF!</v>
      </c>
      <c r="L566" s="53" t="e">
        <f>#REF!*Tablo1[[#This Row],[Alkol]]</f>
        <v>#REF!</v>
      </c>
      <c r="M566" s="46"/>
      <c r="N566" s="53">
        <f>(Tablo1[[#This Row],[KALAN ESANS]]/Tablo1[[#This Row],[Esans]]*0.01)*(Tablo1[[#This Row],[Alkol]]*100)</f>
        <v>0</v>
      </c>
      <c r="O566" s="53">
        <f>(Tablo1[[#This Row],[KALAN ESANS]]/Tablo1[[#This Row],[Esans]]*0.01)*(Tablo1[[#This Row],[Su]]*100)</f>
        <v>0</v>
      </c>
      <c r="P566" s="53">
        <f>Tablo1[[#This Row],[KALAN ESANS]]+Tablo1[[#This Row],[ALKOL Mik]]+Tablo1[[#This Row],[SU Mik]]</f>
        <v>0</v>
      </c>
    </row>
    <row r="567" spans="1:16" ht="15" customHeight="1" x14ac:dyDescent="0.2">
      <c r="A567" s="20" t="s">
        <v>735</v>
      </c>
      <c r="B567" s="37"/>
      <c r="C567" s="3">
        <v>0.2</v>
      </c>
      <c r="D567" s="3">
        <v>0.02</v>
      </c>
      <c r="E567" s="9">
        <f t="shared" si="8"/>
        <v>0.78</v>
      </c>
      <c r="F567" s="6" t="s">
        <v>25</v>
      </c>
      <c r="G567" s="6" t="s">
        <v>770</v>
      </c>
      <c r="H567" s="59" t="e">
        <f>((Tablo1[[#This Row],[Esans Fiyat]]/#REF!*Tablo1[[#This Row],[Esans]]*100)+(#REF!/1000*Tablo1[[#This Row],[Su]]*100)+(#REF!/1000*Tablo1[[#This Row],[Alkol]]*100))*(#REF!/100)+#REF!</f>
        <v>#REF!</v>
      </c>
      <c r="I567" s="6" t="s">
        <v>776</v>
      </c>
      <c r="J567" s="53" t="e">
        <f>#REF!*Tablo1[[#This Row],[Esans]]</f>
        <v>#REF!</v>
      </c>
      <c r="K567" s="53" t="e">
        <f>#REF!*Tablo1[[#This Row],[Su]]</f>
        <v>#REF!</v>
      </c>
      <c r="L567" s="53" t="e">
        <f>#REF!*Tablo1[[#This Row],[Alkol]]</f>
        <v>#REF!</v>
      </c>
      <c r="M567" s="46"/>
      <c r="N567" s="53">
        <f>(Tablo1[[#This Row],[KALAN ESANS]]/Tablo1[[#This Row],[Esans]]*0.01)*(Tablo1[[#This Row],[Alkol]]*100)</f>
        <v>0</v>
      </c>
      <c r="O567" s="53">
        <f>(Tablo1[[#This Row],[KALAN ESANS]]/Tablo1[[#This Row],[Esans]]*0.01)*(Tablo1[[#This Row],[Su]]*100)</f>
        <v>0</v>
      </c>
      <c r="P567" s="53">
        <f>Tablo1[[#This Row],[KALAN ESANS]]+Tablo1[[#This Row],[ALKOL Mik]]+Tablo1[[#This Row],[SU Mik]]</f>
        <v>0</v>
      </c>
    </row>
    <row r="568" spans="1:16" ht="15" customHeight="1" x14ac:dyDescent="0.2">
      <c r="A568" s="20" t="s">
        <v>738</v>
      </c>
      <c r="B568" s="37"/>
      <c r="C568" s="3">
        <v>0.17</v>
      </c>
      <c r="D568" s="3">
        <v>0.02</v>
      </c>
      <c r="E568" s="9">
        <f t="shared" si="8"/>
        <v>0.80999999999999994</v>
      </c>
      <c r="F568" s="6" t="s">
        <v>25</v>
      </c>
      <c r="G568" s="6" t="s">
        <v>770</v>
      </c>
      <c r="H568" s="59" t="e">
        <f>((Tablo1[[#This Row],[Esans Fiyat]]/#REF!*Tablo1[[#This Row],[Esans]]*100)+(#REF!/1000*Tablo1[[#This Row],[Su]]*100)+(#REF!/1000*Tablo1[[#This Row],[Alkol]]*100))*(#REF!/100)+#REF!</f>
        <v>#REF!</v>
      </c>
      <c r="I568" s="6" t="s">
        <v>772</v>
      </c>
      <c r="J568" s="53" t="e">
        <f>#REF!*Tablo1[[#This Row],[Esans]]</f>
        <v>#REF!</v>
      </c>
      <c r="K568" s="53" t="e">
        <f>#REF!*Tablo1[[#This Row],[Su]]</f>
        <v>#REF!</v>
      </c>
      <c r="L568" s="53" t="e">
        <f>#REF!*Tablo1[[#This Row],[Alkol]]</f>
        <v>#REF!</v>
      </c>
      <c r="M568" s="46"/>
      <c r="N568" s="53">
        <f>(Tablo1[[#This Row],[KALAN ESANS]]/Tablo1[[#This Row],[Esans]]*0.01)*(Tablo1[[#This Row],[Alkol]]*100)</f>
        <v>0</v>
      </c>
      <c r="O568" s="53">
        <f>(Tablo1[[#This Row],[KALAN ESANS]]/Tablo1[[#This Row],[Esans]]*0.01)*(Tablo1[[#This Row],[Su]]*100)</f>
        <v>0</v>
      </c>
      <c r="P568" s="53">
        <f>Tablo1[[#This Row],[KALAN ESANS]]+Tablo1[[#This Row],[ALKOL Mik]]+Tablo1[[#This Row],[SU Mik]]</f>
        <v>0</v>
      </c>
    </row>
    <row r="569" spans="1:16" ht="15" customHeight="1" x14ac:dyDescent="0.2">
      <c r="A569" s="20" t="s">
        <v>734</v>
      </c>
      <c r="B569" s="37"/>
      <c r="C569" s="3">
        <v>0.2</v>
      </c>
      <c r="D569" s="3">
        <v>0</v>
      </c>
      <c r="E569" s="9">
        <f t="shared" si="8"/>
        <v>0.8</v>
      </c>
      <c r="F569" s="6" t="s">
        <v>25</v>
      </c>
      <c r="G569" s="6" t="s">
        <v>770</v>
      </c>
      <c r="H569" s="59" t="e">
        <f>((Tablo1[[#This Row],[Esans Fiyat]]/#REF!*Tablo1[[#This Row],[Esans]]*100)+(#REF!/1000*Tablo1[[#This Row],[Su]]*100)+(#REF!/1000*Tablo1[[#This Row],[Alkol]]*100))*(#REF!/100)+#REF!</f>
        <v>#REF!</v>
      </c>
      <c r="I569" s="6" t="s">
        <v>776</v>
      </c>
      <c r="J569" s="53" t="e">
        <f>#REF!*Tablo1[[#This Row],[Esans]]</f>
        <v>#REF!</v>
      </c>
      <c r="K569" s="53" t="e">
        <f>#REF!*Tablo1[[#This Row],[Su]]</f>
        <v>#REF!</v>
      </c>
      <c r="L569" s="53" t="e">
        <f>#REF!*Tablo1[[#This Row],[Alkol]]</f>
        <v>#REF!</v>
      </c>
      <c r="M569" s="46"/>
      <c r="N569" s="53">
        <f>(Tablo1[[#This Row],[KALAN ESANS]]/Tablo1[[#This Row],[Esans]]*0.01)*(Tablo1[[#This Row],[Alkol]]*100)</f>
        <v>0</v>
      </c>
      <c r="O569" s="53">
        <f>(Tablo1[[#This Row],[KALAN ESANS]]/Tablo1[[#This Row],[Esans]]*0.01)*(Tablo1[[#This Row],[Su]]*100)</f>
        <v>0</v>
      </c>
      <c r="P569" s="53">
        <f>Tablo1[[#This Row],[KALAN ESANS]]+Tablo1[[#This Row],[ALKOL Mik]]+Tablo1[[#This Row],[SU Mik]]</f>
        <v>0</v>
      </c>
    </row>
    <row r="570" spans="1:16" ht="15" customHeight="1" x14ac:dyDescent="0.2">
      <c r="A570" s="20" t="s">
        <v>737</v>
      </c>
      <c r="B570" s="37"/>
      <c r="C570" s="3">
        <v>0.2</v>
      </c>
      <c r="D570" s="3">
        <v>0</v>
      </c>
      <c r="E570" s="9">
        <f t="shared" si="8"/>
        <v>0.8</v>
      </c>
      <c r="F570" s="6" t="s">
        <v>25</v>
      </c>
      <c r="G570" s="6" t="s">
        <v>770</v>
      </c>
      <c r="H570" s="59" t="e">
        <f>((Tablo1[[#This Row],[Esans Fiyat]]/#REF!*Tablo1[[#This Row],[Esans]]*100)+(#REF!/1000*Tablo1[[#This Row],[Su]]*100)+(#REF!/1000*Tablo1[[#This Row],[Alkol]]*100))*(#REF!/100)+#REF!</f>
        <v>#REF!</v>
      </c>
      <c r="I570" s="6" t="s">
        <v>776</v>
      </c>
      <c r="J570" s="53" t="e">
        <f>#REF!*Tablo1[[#This Row],[Esans]]</f>
        <v>#REF!</v>
      </c>
      <c r="K570" s="53" t="e">
        <f>#REF!*Tablo1[[#This Row],[Su]]</f>
        <v>#REF!</v>
      </c>
      <c r="L570" s="53" t="e">
        <f>#REF!*Tablo1[[#This Row],[Alkol]]</f>
        <v>#REF!</v>
      </c>
      <c r="M570" s="46"/>
      <c r="N570" s="53">
        <f>(Tablo1[[#This Row],[KALAN ESANS]]/Tablo1[[#This Row],[Esans]]*0.01)*(Tablo1[[#This Row],[Alkol]]*100)</f>
        <v>0</v>
      </c>
      <c r="O570" s="53">
        <f>(Tablo1[[#This Row],[KALAN ESANS]]/Tablo1[[#This Row],[Esans]]*0.01)*(Tablo1[[#This Row],[Su]]*100)</f>
        <v>0</v>
      </c>
      <c r="P570" s="53">
        <f>Tablo1[[#This Row],[KALAN ESANS]]+Tablo1[[#This Row],[ALKOL Mik]]+Tablo1[[#This Row],[SU Mik]]</f>
        <v>0</v>
      </c>
    </row>
    <row r="571" spans="1:16" ht="15" customHeight="1" x14ac:dyDescent="0.2">
      <c r="A571" s="20" t="s">
        <v>733</v>
      </c>
      <c r="B571" s="37"/>
      <c r="C571" s="3">
        <v>0.2</v>
      </c>
      <c r="D571" s="3">
        <v>0.02</v>
      </c>
      <c r="E571" s="9">
        <f t="shared" si="8"/>
        <v>0.78</v>
      </c>
      <c r="F571" s="6" t="s">
        <v>25</v>
      </c>
      <c r="G571" s="6" t="s">
        <v>770</v>
      </c>
      <c r="H571" s="59" t="e">
        <f>((Tablo1[[#This Row],[Esans Fiyat]]/#REF!*Tablo1[[#This Row],[Esans]]*100)+(#REF!/1000*Tablo1[[#This Row],[Su]]*100)+(#REF!/1000*Tablo1[[#This Row],[Alkol]]*100))*(#REF!/100)+#REF!</f>
        <v>#REF!</v>
      </c>
      <c r="I571" s="6" t="s">
        <v>776</v>
      </c>
      <c r="J571" s="53" t="e">
        <f>#REF!*Tablo1[[#This Row],[Esans]]</f>
        <v>#REF!</v>
      </c>
      <c r="K571" s="53" t="e">
        <f>#REF!*Tablo1[[#This Row],[Su]]</f>
        <v>#REF!</v>
      </c>
      <c r="L571" s="53" t="e">
        <f>#REF!*Tablo1[[#This Row],[Alkol]]</f>
        <v>#REF!</v>
      </c>
      <c r="M571" s="46"/>
      <c r="N571" s="53">
        <f>(Tablo1[[#This Row],[KALAN ESANS]]/Tablo1[[#This Row],[Esans]]*0.01)*(Tablo1[[#This Row],[Alkol]]*100)</f>
        <v>0</v>
      </c>
      <c r="O571" s="53">
        <f>(Tablo1[[#This Row],[KALAN ESANS]]/Tablo1[[#This Row],[Esans]]*0.01)*(Tablo1[[#This Row],[Su]]*100)</f>
        <v>0</v>
      </c>
      <c r="P571" s="53">
        <f>Tablo1[[#This Row],[KALAN ESANS]]+Tablo1[[#This Row],[ALKOL Mik]]+Tablo1[[#This Row],[SU Mik]]</f>
        <v>0</v>
      </c>
    </row>
    <row r="572" spans="1:16" ht="15" customHeight="1" x14ac:dyDescent="0.2">
      <c r="A572" s="20" t="s">
        <v>736</v>
      </c>
      <c r="B572" s="37"/>
      <c r="C572" s="3">
        <v>0.2</v>
      </c>
      <c r="D572" s="3">
        <v>0.02</v>
      </c>
      <c r="E572" s="9">
        <f t="shared" si="8"/>
        <v>0.78</v>
      </c>
      <c r="F572" s="6" t="s">
        <v>25</v>
      </c>
      <c r="G572" s="6" t="s">
        <v>770</v>
      </c>
      <c r="H572" s="59" t="e">
        <f>((Tablo1[[#This Row],[Esans Fiyat]]/#REF!*Tablo1[[#This Row],[Esans]]*100)+(#REF!/1000*Tablo1[[#This Row],[Su]]*100)+(#REF!/1000*Tablo1[[#This Row],[Alkol]]*100))*(#REF!/100)+#REF!</f>
        <v>#REF!</v>
      </c>
      <c r="I572" s="6" t="s">
        <v>776</v>
      </c>
      <c r="J572" s="53" t="e">
        <f>#REF!*Tablo1[[#This Row],[Esans]]</f>
        <v>#REF!</v>
      </c>
      <c r="K572" s="53" t="e">
        <f>#REF!*Tablo1[[#This Row],[Su]]</f>
        <v>#REF!</v>
      </c>
      <c r="L572" s="53" t="e">
        <f>#REF!*Tablo1[[#This Row],[Alkol]]</f>
        <v>#REF!</v>
      </c>
      <c r="M572" s="46"/>
      <c r="N572" s="53">
        <f>(Tablo1[[#This Row],[KALAN ESANS]]/Tablo1[[#This Row],[Esans]]*0.01)*(Tablo1[[#This Row],[Alkol]]*100)</f>
        <v>0</v>
      </c>
      <c r="O572" s="53">
        <f>(Tablo1[[#This Row],[KALAN ESANS]]/Tablo1[[#This Row],[Esans]]*0.01)*(Tablo1[[#This Row],[Su]]*100)</f>
        <v>0</v>
      </c>
      <c r="P572" s="53">
        <f>Tablo1[[#This Row],[KALAN ESANS]]+Tablo1[[#This Row],[ALKOL Mik]]+Tablo1[[#This Row],[SU Mik]]</f>
        <v>0</v>
      </c>
    </row>
    <row r="573" spans="1:16" ht="15" customHeight="1" x14ac:dyDescent="0.2">
      <c r="A573" s="20" t="s">
        <v>732</v>
      </c>
      <c r="B573" s="37"/>
      <c r="C573" s="3">
        <v>0.2</v>
      </c>
      <c r="D573" s="3">
        <v>0.02</v>
      </c>
      <c r="E573" s="9">
        <f t="shared" si="8"/>
        <v>0.78</v>
      </c>
      <c r="F573" s="6" t="s">
        <v>25</v>
      </c>
      <c r="G573" s="6" t="s">
        <v>770</v>
      </c>
      <c r="H573" s="59" t="e">
        <f>((Tablo1[[#This Row],[Esans Fiyat]]/#REF!*Tablo1[[#This Row],[Esans]]*100)+(#REF!/1000*Tablo1[[#This Row],[Su]]*100)+(#REF!/1000*Tablo1[[#This Row],[Alkol]]*100))*(#REF!/100)+#REF!</f>
        <v>#REF!</v>
      </c>
      <c r="I573" s="6" t="s">
        <v>776</v>
      </c>
      <c r="J573" s="53" t="e">
        <f>#REF!*Tablo1[[#This Row],[Esans]]</f>
        <v>#REF!</v>
      </c>
      <c r="K573" s="53" t="e">
        <f>#REF!*Tablo1[[#This Row],[Su]]</f>
        <v>#REF!</v>
      </c>
      <c r="L573" s="53" t="e">
        <f>#REF!*Tablo1[[#This Row],[Alkol]]</f>
        <v>#REF!</v>
      </c>
      <c r="M573" s="46"/>
      <c r="N573" s="53">
        <f>(Tablo1[[#This Row],[KALAN ESANS]]/Tablo1[[#This Row],[Esans]]*0.01)*(Tablo1[[#This Row],[Alkol]]*100)</f>
        <v>0</v>
      </c>
      <c r="O573" s="53">
        <f>(Tablo1[[#This Row],[KALAN ESANS]]/Tablo1[[#This Row],[Esans]]*0.01)*(Tablo1[[#This Row],[Su]]*100)</f>
        <v>0</v>
      </c>
      <c r="P573" s="53">
        <f>Tablo1[[#This Row],[KALAN ESANS]]+Tablo1[[#This Row],[ALKOL Mik]]+Tablo1[[#This Row],[SU Mik]]</f>
        <v>0</v>
      </c>
    </row>
    <row r="574" spans="1:16" ht="15" customHeight="1" x14ac:dyDescent="0.2">
      <c r="A574" s="20" t="s">
        <v>731</v>
      </c>
      <c r="B574" s="37"/>
      <c r="C574" s="3">
        <v>0.2</v>
      </c>
      <c r="D574" s="3">
        <v>0.02</v>
      </c>
      <c r="E574" s="9">
        <f t="shared" si="8"/>
        <v>0.78</v>
      </c>
      <c r="F574" s="6" t="s">
        <v>25</v>
      </c>
      <c r="G574" s="6" t="s">
        <v>770</v>
      </c>
      <c r="H574" s="59" t="e">
        <f>((Tablo1[[#This Row],[Esans Fiyat]]/#REF!*Tablo1[[#This Row],[Esans]]*100)+(#REF!/1000*Tablo1[[#This Row],[Su]]*100)+(#REF!/1000*Tablo1[[#This Row],[Alkol]]*100))*(#REF!/100)+#REF!</f>
        <v>#REF!</v>
      </c>
      <c r="I574" s="6" t="s">
        <v>776</v>
      </c>
      <c r="J574" s="53" t="e">
        <f>#REF!*Tablo1[[#This Row],[Esans]]</f>
        <v>#REF!</v>
      </c>
      <c r="K574" s="53" t="e">
        <f>#REF!*Tablo1[[#This Row],[Su]]</f>
        <v>#REF!</v>
      </c>
      <c r="L574" s="53" t="e">
        <f>#REF!*Tablo1[[#This Row],[Alkol]]</f>
        <v>#REF!</v>
      </c>
      <c r="M574" s="46"/>
      <c r="N574" s="53">
        <f>(Tablo1[[#This Row],[KALAN ESANS]]/Tablo1[[#This Row],[Esans]]*0.01)*(Tablo1[[#This Row],[Alkol]]*100)</f>
        <v>0</v>
      </c>
      <c r="O574" s="53">
        <f>(Tablo1[[#This Row],[KALAN ESANS]]/Tablo1[[#This Row],[Esans]]*0.01)*(Tablo1[[#This Row],[Su]]*100)</f>
        <v>0</v>
      </c>
      <c r="P574" s="53">
        <f>Tablo1[[#This Row],[KALAN ESANS]]+Tablo1[[#This Row],[ALKOL Mik]]+Tablo1[[#This Row],[SU Mik]]</f>
        <v>0</v>
      </c>
    </row>
    <row r="575" spans="1:16" ht="15" customHeight="1" x14ac:dyDescent="0.2">
      <c r="A575" s="20" t="s">
        <v>729</v>
      </c>
      <c r="B575" s="37"/>
      <c r="C575" s="3">
        <v>0.2</v>
      </c>
      <c r="D575" s="3">
        <v>0.02</v>
      </c>
      <c r="E575" s="9">
        <f t="shared" si="8"/>
        <v>0.78</v>
      </c>
      <c r="F575" s="6" t="s">
        <v>25</v>
      </c>
      <c r="G575" s="6" t="s">
        <v>770</v>
      </c>
      <c r="H575" s="59" t="e">
        <f>((Tablo1[[#This Row],[Esans Fiyat]]/#REF!*Tablo1[[#This Row],[Esans]]*100)+(#REF!/1000*Tablo1[[#This Row],[Su]]*100)+(#REF!/1000*Tablo1[[#This Row],[Alkol]]*100))*(#REF!/100)+#REF!</f>
        <v>#REF!</v>
      </c>
      <c r="I575" s="6" t="s">
        <v>776</v>
      </c>
      <c r="J575" s="53" t="e">
        <f>#REF!*Tablo1[[#This Row],[Esans]]</f>
        <v>#REF!</v>
      </c>
      <c r="K575" s="53" t="e">
        <f>#REF!*Tablo1[[#This Row],[Su]]</f>
        <v>#REF!</v>
      </c>
      <c r="L575" s="53" t="e">
        <f>#REF!*Tablo1[[#This Row],[Alkol]]</f>
        <v>#REF!</v>
      </c>
      <c r="M575" s="46"/>
      <c r="N575" s="53">
        <f>(Tablo1[[#This Row],[KALAN ESANS]]/Tablo1[[#This Row],[Esans]]*0.01)*(Tablo1[[#This Row],[Alkol]]*100)</f>
        <v>0</v>
      </c>
      <c r="O575" s="53">
        <f>(Tablo1[[#This Row],[KALAN ESANS]]/Tablo1[[#This Row],[Esans]]*0.01)*(Tablo1[[#This Row],[Su]]*100)</f>
        <v>0</v>
      </c>
      <c r="P575" s="53">
        <f>Tablo1[[#This Row],[KALAN ESANS]]+Tablo1[[#This Row],[ALKOL Mik]]+Tablo1[[#This Row],[SU Mik]]</f>
        <v>0</v>
      </c>
    </row>
    <row r="576" spans="1:16" ht="15" customHeight="1" x14ac:dyDescent="0.2">
      <c r="A576" s="20" t="s">
        <v>730</v>
      </c>
      <c r="B576" s="37"/>
      <c r="C576" s="3">
        <v>0.2</v>
      </c>
      <c r="D576" s="3">
        <v>0</v>
      </c>
      <c r="E576" s="9">
        <f t="shared" si="8"/>
        <v>0.8</v>
      </c>
      <c r="F576" s="6" t="s">
        <v>25</v>
      </c>
      <c r="G576" s="6" t="s">
        <v>770</v>
      </c>
      <c r="H576" s="59" t="e">
        <f>((Tablo1[[#This Row],[Esans Fiyat]]/#REF!*Tablo1[[#This Row],[Esans]]*100)+(#REF!/1000*Tablo1[[#This Row],[Su]]*100)+(#REF!/1000*Tablo1[[#This Row],[Alkol]]*100))*(#REF!/100)+#REF!</f>
        <v>#REF!</v>
      </c>
      <c r="I576" s="6" t="s">
        <v>776</v>
      </c>
      <c r="J576" s="53" t="e">
        <f>#REF!*Tablo1[[#This Row],[Esans]]</f>
        <v>#REF!</v>
      </c>
      <c r="K576" s="53" t="e">
        <f>#REF!*Tablo1[[#This Row],[Su]]</f>
        <v>#REF!</v>
      </c>
      <c r="L576" s="53" t="e">
        <f>#REF!*Tablo1[[#This Row],[Alkol]]</f>
        <v>#REF!</v>
      </c>
      <c r="M576" s="46"/>
      <c r="N576" s="53">
        <f>(Tablo1[[#This Row],[KALAN ESANS]]/Tablo1[[#This Row],[Esans]]*0.01)*(Tablo1[[#This Row],[Alkol]]*100)</f>
        <v>0</v>
      </c>
      <c r="O576" s="53">
        <f>(Tablo1[[#This Row],[KALAN ESANS]]/Tablo1[[#This Row],[Esans]]*0.01)*(Tablo1[[#This Row],[Su]]*100)</f>
        <v>0</v>
      </c>
      <c r="P576" s="53">
        <f>Tablo1[[#This Row],[KALAN ESANS]]+Tablo1[[#This Row],[ALKOL Mik]]+Tablo1[[#This Row],[SU Mik]]</f>
        <v>0</v>
      </c>
    </row>
    <row r="577" spans="1:16" ht="15" customHeight="1" x14ac:dyDescent="0.2">
      <c r="A577" s="20" t="s">
        <v>728</v>
      </c>
      <c r="B577" s="37"/>
      <c r="C577" s="3">
        <v>0.2</v>
      </c>
      <c r="D577" s="3">
        <v>0.02</v>
      </c>
      <c r="E577" s="9">
        <f t="shared" si="8"/>
        <v>0.78</v>
      </c>
      <c r="F577" s="6" t="s">
        <v>25</v>
      </c>
      <c r="G577" s="6" t="s">
        <v>770</v>
      </c>
      <c r="H577" s="59" t="e">
        <f>((Tablo1[[#This Row],[Esans Fiyat]]/#REF!*Tablo1[[#This Row],[Esans]]*100)+(#REF!/1000*Tablo1[[#This Row],[Su]]*100)+(#REF!/1000*Tablo1[[#This Row],[Alkol]]*100))*(#REF!/100)+#REF!</f>
        <v>#REF!</v>
      </c>
      <c r="I577" s="6" t="s">
        <v>776</v>
      </c>
      <c r="J577" s="53" t="e">
        <f>#REF!*Tablo1[[#This Row],[Esans]]</f>
        <v>#REF!</v>
      </c>
      <c r="K577" s="53" t="e">
        <f>#REF!*Tablo1[[#This Row],[Su]]</f>
        <v>#REF!</v>
      </c>
      <c r="L577" s="53" t="e">
        <f>#REF!*Tablo1[[#This Row],[Alkol]]</f>
        <v>#REF!</v>
      </c>
      <c r="M577" s="46"/>
      <c r="N577" s="53">
        <f>(Tablo1[[#This Row],[KALAN ESANS]]/Tablo1[[#This Row],[Esans]]*0.01)*(Tablo1[[#This Row],[Alkol]]*100)</f>
        <v>0</v>
      </c>
      <c r="O577" s="53">
        <f>(Tablo1[[#This Row],[KALAN ESANS]]/Tablo1[[#This Row],[Esans]]*0.01)*(Tablo1[[#This Row],[Su]]*100)</f>
        <v>0</v>
      </c>
      <c r="P577" s="53">
        <f>Tablo1[[#This Row],[KALAN ESANS]]+Tablo1[[#This Row],[ALKOL Mik]]+Tablo1[[#This Row],[SU Mik]]</f>
        <v>0</v>
      </c>
    </row>
    <row r="578" spans="1:16" ht="15" customHeight="1" x14ac:dyDescent="0.2">
      <c r="A578" s="20" t="s">
        <v>727</v>
      </c>
      <c r="B578" s="37"/>
      <c r="C578" s="3">
        <v>0.15</v>
      </c>
      <c r="D578" s="3">
        <v>0.02</v>
      </c>
      <c r="E578" s="9">
        <f t="shared" si="8"/>
        <v>0.83</v>
      </c>
      <c r="F578" s="6" t="s">
        <v>28</v>
      </c>
      <c r="G578" s="6" t="s">
        <v>770</v>
      </c>
      <c r="H578" s="59" t="e">
        <f>((Tablo1[[#This Row],[Esans Fiyat]]/#REF!*Tablo1[[#This Row],[Esans]]*100)+(#REF!/1000*Tablo1[[#This Row],[Su]]*100)+(#REF!/1000*Tablo1[[#This Row],[Alkol]]*100))*(#REF!/100)+#REF!</f>
        <v>#REF!</v>
      </c>
      <c r="I578" s="6" t="s">
        <v>776</v>
      </c>
      <c r="J578" s="53" t="e">
        <f>#REF!*Tablo1[[#This Row],[Esans]]</f>
        <v>#REF!</v>
      </c>
      <c r="K578" s="53" t="e">
        <f>#REF!*Tablo1[[#This Row],[Su]]</f>
        <v>#REF!</v>
      </c>
      <c r="L578" s="53" t="e">
        <f>#REF!*Tablo1[[#This Row],[Alkol]]</f>
        <v>#REF!</v>
      </c>
      <c r="M578" s="46"/>
      <c r="N578" s="53">
        <f>(Tablo1[[#This Row],[KALAN ESANS]]/Tablo1[[#This Row],[Esans]]*0.01)*(Tablo1[[#This Row],[Alkol]]*100)</f>
        <v>0</v>
      </c>
      <c r="O578" s="53">
        <f>(Tablo1[[#This Row],[KALAN ESANS]]/Tablo1[[#This Row],[Esans]]*0.01)*(Tablo1[[#This Row],[Su]]*100)</f>
        <v>0</v>
      </c>
      <c r="P578" s="53">
        <f>Tablo1[[#This Row],[KALAN ESANS]]+Tablo1[[#This Row],[ALKOL Mik]]+Tablo1[[#This Row],[SU Mik]]</f>
        <v>0</v>
      </c>
    </row>
    <row r="579" spans="1:16" ht="15" customHeight="1" x14ac:dyDescent="0.2">
      <c r="A579" s="20" t="s">
        <v>725</v>
      </c>
      <c r="B579" s="37"/>
      <c r="C579" s="3">
        <v>0.15</v>
      </c>
      <c r="D579" s="3">
        <v>0.02</v>
      </c>
      <c r="E579" s="9">
        <f t="shared" si="8"/>
        <v>0.83</v>
      </c>
      <c r="F579" s="6" t="s">
        <v>28</v>
      </c>
      <c r="G579" s="6" t="s">
        <v>770</v>
      </c>
      <c r="H579" s="59" t="e">
        <f>((Tablo1[[#This Row],[Esans Fiyat]]/#REF!*Tablo1[[#This Row],[Esans]]*100)+(#REF!/1000*Tablo1[[#This Row],[Su]]*100)+(#REF!/1000*Tablo1[[#This Row],[Alkol]]*100))*(#REF!/100)+#REF!</f>
        <v>#REF!</v>
      </c>
      <c r="I579" s="6" t="s">
        <v>776</v>
      </c>
      <c r="J579" s="53" t="e">
        <f>#REF!*Tablo1[[#This Row],[Esans]]</f>
        <v>#REF!</v>
      </c>
      <c r="K579" s="53" t="e">
        <f>#REF!*Tablo1[[#This Row],[Su]]</f>
        <v>#REF!</v>
      </c>
      <c r="L579" s="53" t="e">
        <f>#REF!*Tablo1[[#This Row],[Alkol]]</f>
        <v>#REF!</v>
      </c>
      <c r="M579" s="46"/>
      <c r="N579" s="53">
        <f>(Tablo1[[#This Row],[KALAN ESANS]]/Tablo1[[#This Row],[Esans]]*0.01)*(Tablo1[[#This Row],[Alkol]]*100)</f>
        <v>0</v>
      </c>
      <c r="O579" s="53">
        <f>(Tablo1[[#This Row],[KALAN ESANS]]/Tablo1[[#This Row],[Esans]]*0.01)*(Tablo1[[#This Row],[Su]]*100)</f>
        <v>0</v>
      </c>
      <c r="P579" s="53">
        <f>Tablo1[[#This Row],[KALAN ESANS]]+Tablo1[[#This Row],[ALKOL Mik]]+Tablo1[[#This Row],[SU Mik]]</f>
        <v>0</v>
      </c>
    </row>
    <row r="580" spans="1:16" ht="15" customHeight="1" x14ac:dyDescent="0.2">
      <c r="A580" s="20" t="s">
        <v>720</v>
      </c>
      <c r="B580" s="37"/>
      <c r="C580" s="3">
        <v>0.15</v>
      </c>
      <c r="D580" s="3">
        <v>0.02</v>
      </c>
      <c r="E580" s="9">
        <f t="shared" ref="E580:E643" si="9">1-D580-C580</f>
        <v>0.83</v>
      </c>
      <c r="F580" s="6" t="s">
        <v>28</v>
      </c>
      <c r="G580" s="6" t="s">
        <v>770</v>
      </c>
      <c r="H580" s="59" t="e">
        <f>((Tablo1[[#This Row],[Esans Fiyat]]/#REF!*Tablo1[[#This Row],[Esans]]*100)+(#REF!/1000*Tablo1[[#This Row],[Su]]*100)+(#REF!/1000*Tablo1[[#This Row],[Alkol]]*100))*(#REF!/100)+#REF!</f>
        <v>#REF!</v>
      </c>
      <c r="I580" s="6" t="s">
        <v>776</v>
      </c>
      <c r="J580" s="53" t="e">
        <f>#REF!*Tablo1[[#This Row],[Esans]]</f>
        <v>#REF!</v>
      </c>
      <c r="K580" s="53" t="e">
        <f>#REF!*Tablo1[[#This Row],[Su]]</f>
        <v>#REF!</v>
      </c>
      <c r="L580" s="53" t="e">
        <f>#REF!*Tablo1[[#This Row],[Alkol]]</f>
        <v>#REF!</v>
      </c>
      <c r="M580" s="46"/>
      <c r="N580" s="53">
        <f>(Tablo1[[#This Row],[KALAN ESANS]]/Tablo1[[#This Row],[Esans]]*0.01)*(Tablo1[[#This Row],[Alkol]]*100)</f>
        <v>0</v>
      </c>
      <c r="O580" s="53">
        <f>(Tablo1[[#This Row],[KALAN ESANS]]/Tablo1[[#This Row],[Esans]]*0.01)*(Tablo1[[#This Row],[Su]]*100)</f>
        <v>0</v>
      </c>
      <c r="P580" s="53">
        <f>Tablo1[[#This Row],[KALAN ESANS]]+Tablo1[[#This Row],[ALKOL Mik]]+Tablo1[[#This Row],[SU Mik]]</f>
        <v>0</v>
      </c>
    </row>
    <row r="581" spans="1:16" ht="15" customHeight="1" x14ac:dyDescent="0.2">
      <c r="A581" s="20" t="s">
        <v>726</v>
      </c>
      <c r="B581" s="37"/>
      <c r="C581" s="3">
        <v>0.12</v>
      </c>
      <c r="D581" s="3">
        <v>0.02</v>
      </c>
      <c r="E581" s="9">
        <f t="shared" si="9"/>
        <v>0.86</v>
      </c>
      <c r="F581" s="6" t="s">
        <v>28</v>
      </c>
      <c r="G581" s="6" t="s">
        <v>770</v>
      </c>
      <c r="H581" s="59" t="e">
        <f>((Tablo1[[#This Row],[Esans Fiyat]]/#REF!*Tablo1[[#This Row],[Esans]]*100)+(#REF!/1000*Tablo1[[#This Row],[Su]]*100)+(#REF!/1000*Tablo1[[#This Row],[Alkol]]*100))*(#REF!/100)+#REF!</f>
        <v>#REF!</v>
      </c>
      <c r="I581" s="6" t="s">
        <v>772</v>
      </c>
      <c r="J581" s="53" t="e">
        <f>#REF!*Tablo1[[#This Row],[Esans]]</f>
        <v>#REF!</v>
      </c>
      <c r="K581" s="53" t="e">
        <f>#REF!*Tablo1[[#This Row],[Su]]</f>
        <v>#REF!</v>
      </c>
      <c r="L581" s="53" t="e">
        <f>#REF!*Tablo1[[#This Row],[Alkol]]</f>
        <v>#REF!</v>
      </c>
      <c r="M581" s="46"/>
      <c r="N581" s="53">
        <f>(Tablo1[[#This Row],[KALAN ESANS]]/Tablo1[[#This Row],[Esans]]*0.01)*(Tablo1[[#This Row],[Alkol]]*100)</f>
        <v>0</v>
      </c>
      <c r="O581" s="53">
        <f>(Tablo1[[#This Row],[KALAN ESANS]]/Tablo1[[#This Row],[Esans]]*0.01)*(Tablo1[[#This Row],[Su]]*100)</f>
        <v>0</v>
      </c>
      <c r="P581" s="53">
        <f>Tablo1[[#This Row],[KALAN ESANS]]+Tablo1[[#This Row],[ALKOL Mik]]+Tablo1[[#This Row],[SU Mik]]</f>
        <v>0</v>
      </c>
    </row>
    <row r="582" spans="1:16" ht="15" customHeight="1" x14ac:dyDescent="0.2">
      <c r="A582" s="20" t="s">
        <v>724</v>
      </c>
      <c r="B582" s="37"/>
      <c r="C582" s="3">
        <v>0.15</v>
      </c>
      <c r="D582" s="3">
        <v>0</v>
      </c>
      <c r="E582" s="9">
        <f t="shared" si="9"/>
        <v>0.85</v>
      </c>
      <c r="F582" s="6" t="s">
        <v>28</v>
      </c>
      <c r="G582" s="6" t="s">
        <v>770</v>
      </c>
      <c r="H582" s="59" t="e">
        <f>((Tablo1[[#This Row],[Esans Fiyat]]/#REF!*Tablo1[[#This Row],[Esans]]*100)+(#REF!/1000*Tablo1[[#This Row],[Su]]*100)+(#REF!/1000*Tablo1[[#This Row],[Alkol]]*100))*(#REF!/100)+#REF!</f>
        <v>#REF!</v>
      </c>
      <c r="I582" s="6" t="s">
        <v>776</v>
      </c>
      <c r="J582" s="53" t="e">
        <f>#REF!*Tablo1[[#This Row],[Esans]]</f>
        <v>#REF!</v>
      </c>
      <c r="K582" s="53" t="e">
        <f>#REF!*Tablo1[[#This Row],[Su]]</f>
        <v>#REF!</v>
      </c>
      <c r="L582" s="53" t="e">
        <f>#REF!*Tablo1[[#This Row],[Alkol]]</f>
        <v>#REF!</v>
      </c>
      <c r="M582" s="46"/>
      <c r="N582" s="53">
        <f>(Tablo1[[#This Row],[KALAN ESANS]]/Tablo1[[#This Row],[Esans]]*0.01)*(Tablo1[[#This Row],[Alkol]]*100)</f>
        <v>0</v>
      </c>
      <c r="O582" s="53">
        <f>(Tablo1[[#This Row],[KALAN ESANS]]/Tablo1[[#This Row],[Esans]]*0.01)*(Tablo1[[#This Row],[Su]]*100)</f>
        <v>0</v>
      </c>
      <c r="P582" s="53">
        <f>Tablo1[[#This Row],[KALAN ESANS]]+Tablo1[[#This Row],[ALKOL Mik]]+Tablo1[[#This Row],[SU Mik]]</f>
        <v>0</v>
      </c>
    </row>
    <row r="583" spans="1:16" ht="15" customHeight="1" x14ac:dyDescent="0.2">
      <c r="A583" s="20" t="s">
        <v>722</v>
      </c>
      <c r="B583" s="37"/>
      <c r="C583" s="3">
        <v>0.15</v>
      </c>
      <c r="D583" s="3">
        <v>0.02</v>
      </c>
      <c r="E583" s="9">
        <f t="shared" si="9"/>
        <v>0.83</v>
      </c>
      <c r="F583" s="6" t="s">
        <v>28</v>
      </c>
      <c r="G583" s="6" t="s">
        <v>770</v>
      </c>
      <c r="H583" s="59" t="e">
        <f>((Tablo1[[#This Row],[Esans Fiyat]]/#REF!*Tablo1[[#This Row],[Esans]]*100)+(#REF!/1000*Tablo1[[#This Row],[Su]]*100)+(#REF!/1000*Tablo1[[#This Row],[Alkol]]*100))*(#REF!/100)+#REF!</f>
        <v>#REF!</v>
      </c>
      <c r="I583" s="6" t="s">
        <v>776</v>
      </c>
      <c r="J583" s="53" t="e">
        <f>#REF!*Tablo1[[#This Row],[Esans]]</f>
        <v>#REF!</v>
      </c>
      <c r="K583" s="53" t="e">
        <f>#REF!*Tablo1[[#This Row],[Su]]</f>
        <v>#REF!</v>
      </c>
      <c r="L583" s="53" t="e">
        <f>#REF!*Tablo1[[#This Row],[Alkol]]</f>
        <v>#REF!</v>
      </c>
      <c r="M583" s="46"/>
      <c r="N583" s="53">
        <f>(Tablo1[[#This Row],[KALAN ESANS]]/Tablo1[[#This Row],[Esans]]*0.01)*(Tablo1[[#This Row],[Alkol]]*100)</f>
        <v>0</v>
      </c>
      <c r="O583" s="53">
        <f>(Tablo1[[#This Row],[KALAN ESANS]]/Tablo1[[#This Row],[Esans]]*0.01)*(Tablo1[[#This Row],[Su]]*100)</f>
        <v>0</v>
      </c>
      <c r="P583" s="53">
        <f>Tablo1[[#This Row],[KALAN ESANS]]+Tablo1[[#This Row],[ALKOL Mik]]+Tablo1[[#This Row],[SU Mik]]</f>
        <v>0</v>
      </c>
    </row>
    <row r="584" spans="1:16" ht="15" customHeight="1" x14ac:dyDescent="0.2">
      <c r="A584" s="20" t="s">
        <v>719</v>
      </c>
      <c r="B584" s="37"/>
      <c r="C584" s="3">
        <v>0.12</v>
      </c>
      <c r="D584" s="3">
        <v>0.02</v>
      </c>
      <c r="E584" s="9">
        <f t="shared" si="9"/>
        <v>0.86</v>
      </c>
      <c r="F584" s="6" t="s">
        <v>28</v>
      </c>
      <c r="G584" s="6" t="s">
        <v>770</v>
      </c>
      <c r="H584" s="59" t="e">
        <f>((Tablo1[[#This Row],[Esans Fiyat]]/#REF!*Tablo1[[#This Row],[Esans]]*100)+(#REF!/1000*Tablo1[[#This Row],[Su]]*100)+(#REF!/1000*Tablo1[[#This Row],[Alkol]]*100))*(#REF!/100)+#REF!</f>
        <v>#REF!</v>
      </c>
      <c r="I584" s="6" t="s">
        <v>776</v>
      </c>
      <c r="J584" s="53" t="e">
        <f>#REF!*Tablo1[[#This Row],[Esans]]</f>
        <v>#REF!</v>
      </c>
      <c r="K584" s="53" t="e">
        <f>#REF!*Tablo1[[#This Row],[Su]]</f>
        <v>#REF!</v>
      </c>
      <c r="L584" s="53" t="e">
        <f>#REF!*Tablo1[[#This Row],[Alkol]]</f>
        <v>#REF!</v>
      </c>
      <c r="M584" s="46"/>
      <c r="N584" s="53">
        <f>(Tablo1[[#This Row],[KALAN ESANS]]/Tablo1[[#This Row],[Esans]]*0.01)*(Tablo1[[#This Row],[Alkol]]*100)</f>
        <v>0</v>
      </c>
      <c r="O584" s="53">
        <f>(Tablo1[[#This Row],[KALAN ESANS]]/Tablo1[[#This Row],[Esans]]*0.01)*(Tablo1[[#This Row],[Su]]*100)</f>
        <v>0</v>
      </c>
      <c r="P584" s="53">
        <f>Tablo1[[#This Row],[KALAN ESANS]]+Tablo1[[#This Row],[ALKOL Mik]]+Tablo1[[#This Row],[SU Mik]]</f>
        <v>0</v>
      </c>
    </row>
    <row r="585" spans="1:16" ht="15" customHeight="1" x14ac:dyDescent="0.2">
      <c r="A585" s="20" t="s">
        <v>721</v>
      </c>
      <c r="B585" s="37"/>
      <c r="C585" s="3">
        <v>0.15</v>
      </c>
      <c r="D585" s="3">
        <v>0.02</v>
      </c>
      <c r="E585" s="9">
        <f t="shared" si="9"/>
        <v>0.83</v>
      </c>
      <c r="F585" s="6" t="s">
        <v>28</v>
      </c>
      <c r="G585" s="6" t="s">
        <v>770</v>
      </c>
      <c r="H585" s="59" t="e">
        <f>((Tablo1[[#This Row],[Esans Fiyat]]/#REF!*Tablo1[[#This Row],[Esans]]*100)+(#REF!/1000*Tablo1[[#This Row],[Su]]*100)+(#REF!/1000*Tablo1[[#This Row],[Alkol]]*100))*(#REF!/100)+#REF!</f>
        <v>#REF!</v>
      </c>
      <c r="I585" s="6" t="s">
        <v>776</v>
      </c>
      <c r="J585" s="53" t="e">
        <f>#REF!*Tablo1[[#This Row],[Esans]]</f>
        <v>#REF!</v>
      </c>
      <c r="K585" s="53" t="e">
        <f>#REF!*Tablo1[[#This Row],[Su]]</f>
        <v>#REF!</v>
      </c>
      <c r="L585" s="53" t="e">
        <f>#REF!*Tablo1[[#This Row],[Alkol]]</f>
        <v>#REF!</v>
      </c>
      <c r="M585" s="46"/>
      <c r="N585" s="53">
        <f>(Tablo1[[#This Row],[KALAN ESANS]]/Tablo1[[#This Row],[Esans]]*0.01)*(Tablo1[[#This Row],[Alkol]]*100)</f>
        <v>0</v>
      </c>
      <c r="O585" s="53">
        <f>(Tablo1[[#This Row],[KALAN ESANS]]/Tablo1[[#This Row],[Esans]]*0.01)*(Tablo1[[#This Row],[Su]]*100)</f>
        <v>0</v>
      </c>
      <c r="P585" s="53">
        <f>Tablo1[[#This Row],[KALAN ESANS]]+Tablo1[[#This Row],[ALKOL Mik]]+Tablo1[[#This Row],[SU Mik]]</f>
        <v>0</v>
      </c>
    </row>
    <row r="586" spans="1:16" ht="15" customHeight="1" x14ac:dyDescent="0.2">
      <c r="A586" s="20" t="s">
        <v>723</v>
      </c>
      <c r="B586" s="37"/>
      <c r="C586" s="3">
        <v>0.15</v>
      </c>
      <c r="D586" s="3">
        <v>0.02</v>
      </c>
      <c r="E586" s="9">
        <f t="shared" si="9"/>
        <v>0.83</v>
      </c>
      <c r="F586" s="6" t="s">
        <v>28</v>
      </c>
      <c r="G586" s="6" t="s">
        <v>770</v>
      </c>
      <c r="H586" s="59" t="e">
        <f>((Tablo1[[#This Row],[Esans Fiyat]]/#REF!*Tablo1[[#This Row],[Esans]]*100)+(#REF!/1000*Tablo1[[#This Row],[Su]]*100)+(#REF!/1000*Tablo1[[#This Row],[Alkol]]*100))*(#REF!/100)+#REF!</f>
        <v>#REF!</v>
      </c>
      <c r="I586" s="6" t="s">
        <v>776</v>
      </c>
      <c r="J586" s="53" t="e">
        <f>#REF!*Tablo1[[#This Row],[Esans]]</f>
        <v>#REF!</v>
      </c>
      <c r="K586" s="53" t="e">
        <f>#REF!*Tablo1[[#This Row],[Su]]</f>
        <v>#REF!</v>
      </c>
      <c r="L586" s="53" t="e">
        <f>#REF!*Tablo1[[#This Row],[Alkol]]</f>
        <v>#REF!</v>
      </c>
      <c r="M586" s="46"/>
      <c r="N586" s="53">
        <f>(Tablo1[[#This Row],[KALAN ESANS]]/Tablo1[[#This Row],[Esans]]*0.01)*(Tablo1[[#This Row],[Alkol]]*100)</f>
        <v>0</v>
      </c>
      <c r="O586" s="53">
        <f>(Tablo1[[#This Row],[KALAN ESANS]]/Tablo1[[#This Row],[Esans]]*0.01)*(Tablo1[[#This Row],[Su]]*100)</f>
        <v>0</v>
      </c>
      <c r="P586" s="53">
        <f>Tablo1[[#This Row],[KALAN ESANS]]+Tablo1[[#This Row],[ALKOL Mik]]+Tablo1[[#This Row],[SU Mik]]</f>
        <v>0</v>
      </c>
    </row>
    <row r="587" spans="1:16" ht="15" customHeight="1" x14ac:dyDescent="0.2">
      <c r="A587" s="20" t="s">
        <v>718</v>
      </c>
      <c r="B587" s="37"/>
      <c r="C587" s="3">
        <v>0.12</v>
      </c>
      <c r="D587" s="3">
        <v>0.02</v>
      </c>
      <c r="E587" s="9">
        <f t="shared" si="9"/>
        <v>0.86</v>
      </c>
      <c r="F587" s="6" t="s">
        <v>28</v>
      </c>
      <c r="G587" s="6" t="s">
        <v>770</v>
      </c>
      <c r="H587" s="59" t="e">
        <f>((Tablo1[[#This Row],[Esans Fiyat]]/#REF!*Tablo1[[#This Row],[Esans]]*100)+(#REF!/1000*Tablo1[[#This Row],[Su]]*100)+(#REF!/1000*Tablo1[[#This Row],[Alkol]]*100))*(#REF!/100)+#REF!</f>
        <v>#REF!</v>
      </c>
      <c r="I587" s="6" t="s">
        <v>772</v>
      </c>
      <c r="J587" s="53" t="e">
        <f>#REF!*Tablo1[[#This Row],[Esans]]</f>
        <v>#REF!</v>
      </c>
      <c r="K587" s="53" t="e">
        <f>#REF!*Tablo1[[#This Row],[Su]]</f>
        <v>#REF!</v>
      </c>
      <c r="L587" s="53" t="e">
        <f>#REF!*Tablo1[[#This Row],[Alkol]]</f>
        <v>#REF!</v>
      </c>
      <c r="M587" s="46"/>
      <c r="N587" s="53">
        <f>(Tablo1[[#This Row],[KALAN ESANS]]/Tablo1[[#This Row],[Esans]]*0.01)*(Tablo1[[#This Row],[Alkol]]*100)</f>
        <v>0</v>
      </c>
      <c r="O587" s="53">
        <f>(Tablo1[[#This Row],[KALAN ESANS]]/Tablo1[[#This Row],[Esans]]*0.01)*(Tablo1[[#This Row],[Su]]*100)</f>
        <v>0</v>
      </c>
      <c r="P587" s="53">
        <f>Tablo1[[#This Row],[KALAN ESANS]]+Tablo1[[#This Row],[ALKOL Mik]]+Tablo1[[#This Row],[SU Mik]]</f>
        <v>0</v>
      </c>
    </row>
    <row r="588" spans="1:16" ht="15" customHeight="1" x14ac:dyDescent="0.2">
      <c r="A588" s="20" t="s">
        <v>555</v>
      </c>
      <c r="B588" s="37"/>
      <c r="C588" s="3">
        <v>0.22</v>
      </c>
      <c r="D588" s="3">
        <v>0.02</v>
      </c>
      <c r="E588" s="9">
        <f t="shared" si="9"/>
        <v>0.76</v>
      </c>
      <c r="F588" s="6" t="s">
        <v>25</v>
      </c>
      <c r="G588" s="6" t="s">
        <v>770</v>
      </c>
      <c r="H588" s="59" t="e">
        <f>((Tablo1[[#This Row],[Esans Fiyat]]/#REF!*Tablo1[[#This Row],[Esans]]*100)+(#REF!/1000*Tablo1[[#This Row],[Su]]*100)+(#REF!/1000*Tablo1[[#This Row],[Alkol]]*100))*(#REF!/100)+#REF!</f>
        <v>#REF!</v>
      </c>
      <c r="I588" s="6" t="s">
        <v>772</v>
      </c>
      <c r="J588" s="53" t="e">
        <f>#REF!*Tablo1[[#This Row],[Esans]]</f>
        <v>#REF!</v>
      </c>
      <c r="K588" s="53" t="e">
        <f>#REF!*Tablo1[[#This Row],[Su]]</f>
        <v>#REF!</v>
      </c>
      <c r="L588" s="53" t="e">
        <f>#REF!*Tablo1[[#This Row],[Alkol]]</f>
        <v>#REF!</v>
      </c>
      <c r="M588" s="46"/>
      <c r="N588" s="53">
        <f>(Tablo1[[#This Row],[KALAN ESANS]]/Tablo1[[#This Row],[Esans]]*0.01)*(Tablo1[[#This Row],[Alkol]]*100)</f>
        <v>0</v>
      </c>
      <c r="O588" s="53">
        <f>(Tablo1[[#This Row],[KALAN ESANS]]/Tablo1[[#This Row],[Esans]]*0.01)*(Tablo1[[#This Row],[Su]]*100)</f>
        <v>0</v>
      </c>
      <c r="P588" s="53">
        <f>Tablo1[[#This Row],[KALAN ESANS]]+Tablo1[[#This Row],[ALKOL Mik]]+Tablo1[[#This Row],[SU Mik]]</f>
        <v>0</v>
      </c>
    </row>
    <row r="589" spans="1:16" ht="15" customHeight="1" x14ac:dyDescent="0.2">
      <c r="A589" s="20" t="s">
        <v>559</v>
      </c>
      <c r="B589" s="37"/>
      <c r="C589" s="3">
        <v>0.2</v>
      </c>
      <c r="D589" s="3">
        <v>0.02</v>
      </c>
      <c r="E589" s="9">
        <f t="shared" si="9"/>
        <v>0.78</v>
      </c>
      <c r="F589" s="6" t="s">
        <v>25</v>
      </c>
      <c r="G589" s="6" t="s">
        <v>770</v>
      </c>
      <c r="H589" s="59" t="e">
        <f>((Tablo1[[#This Row],[Esans Fiyat]]/#REF!*Tablo1[[#This Row],[Esans]]*100)+(#REF!/1000*Tablo1[[#This Row],[Su]]*100)+(#REF!/1000*Tablo1[[#This Row],[Alkol]]*100))*(#REF!/100)+#REF!</f>
        <v>#REF!</v>
      </c>
      <c r="I589" s="6" t="s">
        <v>776</v>
      </c>
      <c r="J589" s="53" t="e">
        <f>#REF!*Tablo1[[#This Row],[Esans]]</f>
        <v>#REF!</v>
      </c>
      <c r="K589" s="53" t="e">
        <f>#REF!*Tablo1[[#This Row],[Su]]</f>
        <v>#REF!</v>
      </c>
      <c r="L589" s="53" t="e">
        <f>#REF!*Tablo1[[#This Row],[Alkol]]</f>
        <v>#REF!</v>
      </c>
      <c r="M589" s="46"/>
      <c r="N589" s="53">
        <f>(Tablo1[[#This Row],[KALAN ESANS]]/Tablo1[[#This Row],[Esans]]*0.01)*(Tablo1[[#This Row],[Alkol]]*100)</f>
        <v>0</v>
      </c>
      <c r="O589" s="53">
        <f>(Tablo1[[#This Row],[KALAN ESANS]]/Tablo1[[#This Row],[Esans]]*0.01)*(Tablo1[[#This Row],[Su]]*100)</f>
        <v>0</v>
      </c>
      <c r="P589" s="53">
        <f>Tablo1[[#This Row],[KALAN ESANS]]+Tablo1[[#This Row],[ALKOL Mik]]+Tablo1[[#This Row],[SU Mik]]</f>
        <v>0</v>
      </c>
    </row>
    <row r="590" spans="1:16" ht="15" customHeight="1" x14ac:dyDescent="0.2">
      <c r="A590" s="20" t="s">
        <v>713</v>
      </c>
      <c r="B590" s="37"/>
      <c r="C590" s="3">
        <v>0.04</v>
      </c>
      <c r="D590" s="3">
        <v>0</v>
      </c>
      <c r="E590" s="9">
        <f t="shared" si="9"/>
        <v>0.96</v>
      </c>
      <c r="F590" s="6" t="s">
        <v>38</v>
      </c>
      <c r="G590" s="6" t="s">
        <v>770</v>
      </c>
      <c r="H590" s="59" t="e">
        <f>((Tablo1[[#This Row],[Esans Fiyat]]/#REF!*Tablo1[[#This Row],[Esans]]*100)+(#REF!/1000*Tablo1[[#This Row],[Su]]*100)+(#REF!/1000*Tablo1[[#This Row],[Alkol]]*100))*(#REF!/100)+#REF!</f>
        <v>#REF!</v>
      </c>
      <c r="I590" s="6" t="s">
        <v>774</v>
      </c>
      <c r="J590" s="53" t="e">
        <f>#REF!*Tablo1[[#This Row],[Esans]]</f>
        <v>#REF!</v>
      </c>
      <c r="K590" s="53" t="e">
        <f>#REF!*Tablo1[[#This Row],[Su]]</f>
        <v>#REF!</v>
      </c>
      <c r="L590" s="53" t="e">
        <f>#REF!*Tablo1[[#This Row],[Alkol]]</f>
        <v>#REF!</v>
      </c>
      <c r="M590" s="46"/>
      <c r="N590" s="53">
        <f>(Tablo1[[#This Row],[KALAN ESANS]]/Tablo1[[#This Row],[Esans]]*0.01)*(Tablo1[[#This Row],[Alkol]]*100)</f>
        <v>0</v>
      </c>
      <c r="O590" s="53">
        <f>(Tablo1[[#This Row],[KALAN ESANS]]/Tablo1[[#This Row],[Esans]]*0.01)*(Tablo1[[#This Row],[Su]]*100)</f>
        <v>0</v>
      </c>
      <c r="P590" s="53">
        <f>Tablo1[[#This Row],[KALAN ESANS]]+Tablo1[[#This Row],[ALKOL Mik]]+Tablo1[[#This Row],[SU Mik]]</f>
        <v>0</v>
      </c>
    </row>
    <row r="591" spans="1:16" ht="15" customHeight="1" x14ac:dyDescent="0.2">
      <c r="A591" s="20" t="s">
        <v>717</v>
      </c>
      <c r="B591" s="37"/>
      <c r="C591" s="3">
        <v>0.15</v>
      </c>
      <c r="D591" s="3">
        <v>0.02</v>
      </c>
      <c r="E591" s="9">
        <f t="shared" si="9"/>
        <v>0.83</v>
      </c>
      <c r="F591" s="6" t="s">
        <v>28</v>
      </c>
      <c r="G591" s="6" t="s">
        <v>770</v>
      </c>
      <c r="H591" s="59" t="e">
        <f>((Tablo1[[#This Row],[Esans Fiyat]]/#REF!*Tablo1[[#This Row],[Esans]]*100)+(#REF!/1000*Tablo1[[#This Row],[Su]]*100)+(#REF!/1000*Tablo1[[#This Row],[Alkol]]*100))*(#REF!/100)+#REF!</f>
        <v>#REF!</v>
      </c>
      <c r="I591" s="6" t="s">
        <v>772</v>
      </c>
      <c r="J591" s="53" t="e">
        <f>#REF!*Tablo1[[#This Row],[Esans]]</f>
        <v>#REF!</v>
      </c>
      <c r="K591" s="53" t="e">
        <f>#REF!*Tablo1[[#This Row],[Su]]</f>
        <v>#REF!</v>
      </c>
      <c r="L591" s="53" t="e">
        <f>#REF!*Tablo1[[#This Row],[Alkol]]</f>
        <v>#REF!</v>
      </c>
      <c r="M591" s="46"/>
      <c r="N591" s="53">
        <f>(Tablo1[[#This Row],[KALAN ESANS]]/Tablo1[[#This Row],[Esans]]*0.01)*(Tablo1[[#This Row],[Alkol]]*100)</f>
        <v>0</v>
      </c>
      <c r="O591" s="53">
        <f>(Tablo1[[#This Row],[KALAN ESANS]]/Tablo1[[#This Row],[Esans]]*0.01)*(Tablo1[[#This Row],[Su]]*100)</f>
        <v>0</v>
      </c>
      <c r="P591" s="53">
        <f>Tablo1[[#This Row],[KALAN ESANS]]+Tablo1[[#This Row],[ALKOL Mik]]+Tablo1[[#This Row],[SU Mik]]</f>
        <v>0</v>
      </c>
    </row>
    <row r="592" spans="1:16" ht="15" customHeight="1" x14ac:dyDescent="0.2">
      <c r="A592" s="20" t="s">
        <v>715</v>
      </c>
      <c r="B592" s="37"/>
      <c r="C592" s="3">
        <v>0.04</v>
      </c>
      <c r="D592" s="3">
        <v>0.02</v>
      </c>
      <c r="E592" s="9">
        <f t="shared" si="9"/>
        <v>0.94</v>
      </c>
      <c r="F592" s="6" t="s">
        <v>38</v>
      </c>
      <c r="G592" s="6" t="s">
        <v>770</v>
      </c>
      <c r="H592" s="59" t="e">
        <f>((Tablo1[[#This Row],[Esans Fiyat]]/#REF!*Tablo1[[#This Row],[Esans]]*100)+(#REF!/1000*Tablo1[[#This Row],[Su]]*100)+(#REF!/1000*Tablo1[[#This Row],[Alkol]]*100))*(#REF!/100)+#REF!</f>
        <v>#REF!</v>
      </c>
      <c r="I592" s="6" t="s">
        <v>774</v>
      </c>
      <c r="J592" s="53" t="e">
        <f>#REF!*Tablo1[[#This Row],[Esans]]</f>
        <v>#REF!</v>
      </c>
      <c r="K592" s="53" t="e">
        <f>#REF!*Tablo1[[#This Row],[Su]]</f>
        <v>#REF!</v>
      </c>
      <c r="L592" s="53" t="e">
        <f>#REF!*Tablo1[[#This Row],[Alkol]]</f>
        <v>#REF!</v>
      </c>
      <c r="M592" s="46"/>
      <c r="N592" s="53">
        <f>(Tablo1[[#This Row],[KALAN ESANS]]/Tablo1[[#This Row],[Esans]]*0.01)*(Tablo1[[#This Row],[Alkol]]*100)</f>
        <v>0</v>
      </c>
      <c r="O592" s="53">
        <f>(Tablo1[[#This Row],[KALAN ESANS]]/Tablo1[[#This Row],[Esans]]*0.01)*(Tablo1[[#This Row],[Su]]*100)</f>
        <v>0</v>
      </c>
      <c r="P592" s="53">
        <f>Tablo1[[#This Row],[KALAN ESANS]]+Tablo1[[#This Row],[ALKOL Mik]]+Tablo1[[#This Row],[SU Mik]]</f>
        <v>0</v>
      </c>
    </row>
    <row r="593" spans="1:16" ht="15" customHeight="1" x14ac:dyDescent="0.2">
      <c r="A593" s="20" t="s">
        <v>712</v>
      </c>
      <c r="B593" s="37"/>
      <c r="C593" s="3">
        <v>0.04</v>
      </c>
      <c r="D593" s="3">
        <v>0.02</v>
      </c>
      <c r="E593" s="9">
        <f t="shared" si="9"/>
        <v>0.94</v>
      </c>
      <c r="F593" s="6" t="s">
        <v>38</v>
      </c>
      <c r="G593" s="6" t="s">
        <v>770</v>
      </c>
      <c r="H593" s="59" t="e">
        <f>((Tablo1[[#This Row],[Esans Fiyat]]/#REF!*Tablo1[[#This Row],[Esans]]*100)+(#REF!/1000*Tablo1[[#This Row],[Su]]*100)+(#REF!/1000*Tablo1[[#This Row],[Alkol]]*100))*(#REF!/100)+#REF!</f>
        <v>#REF!</v>
      </c>
      <c r="I593" s="6" t="s">
        <v>774</v>
      </c>
      <c r="J593" s="53" t="e">
        <f>#REF!*Tablo1[[#This Row],[Esans]]</f>
        <v>#REF!</v>
      </c>
      <c r="K593" s="53" t="e">
        <f>#REF!*Tablo1[[#This Row],[Su]]</f>
        <v>#REF!</v>
      </c>
      <c r="L593" s="53" t="e">
        <f>#REF!*Tablo1[[#This Row],[Alkol]]</f>
        <v>#REF!</v>
      </c>
      <c r="M593" s="46"/>
      <c r="N593" s="53">
        <f>(Tablo1[[#This Row],[KALAN ESANS]]/Tablo1[[#This Row],[Esans]]*0.01)*(Tablo1[[#This Row],[Alkol]]*100)</f>
        <v>0</v>
      </c>
      <c r="O593" s="53">
        <f>(Tablo1[[#This Row],[KALAN ESANS]]/Tablo1[[#This Row],[Esans]]*0.01)*(Tablo1[[#This Row],[Su]]*100)</f>
        <v>0</v>
      </c>
      <c r="P593" s="53">
        <f>Tablo1[[#This Row],[KALAN ESANS]]+Tablo1[[#This Row],[ALKOL Mik]]+Tablo1[[#This Row],[SU Mik]]</f>
        <v>0</v>
      </c>
    </row>
    <row r="594" spans="1:16" ht="15" customHeight="1" x14ac:dyDescent="0.2">
      <c r="A594" s="20" t="s">
        <v>714</v>
      </c>
      <c r="B594" s="37"/>
      <c r="C594" s="3">
        <v>0.04</v>
      </c>
      <c r="D594" s="3">
        <v>0.02</v>
      </c>
      <c r="E594" s="9">
        <f t="shared" si="9"/>
        <v>0.94</v>
      </c>
      <c r="F594" s="6" t="s">
        <v>38</v>
      </c>
      <c r="G594" s="6" t="s">
        <v>770</v>
      </c>
      <c r="H594" s="59" t="e">
        <f>((Tablo1[[#This Row],[Esans Fiyat]]/#REF!*Tablo1[[#This Row],[Esans]]*100)+(#REF!/1000*Tablo1[[#This Row],[Su]]*100)+(#REF!/1000*Tablo1[[#This Row],[Alkol]]*100))*(#REF!/100)+#REF!</f>
        <v>#REF!</v>
      </c>
      <c r="I594" s="6" t="s">
        <v>774</v>
      </c>
      <c r="J594" s="53" t="e">
        <f>#REF!*Tablo1[[#This Row],[Esans]]</f>
        <v>#REF!</v>
      </c>
      <c r="K594" s="53" t="e">
        <f>#REF!*Tablo1[[#This Row],[Su]]</f>
        <v>#REF!</v>
      </c>
      <c r="L594" s="53" t="e">
        <f>#REF!*Tablo1[[#This Row],[Alkol]]</f>
        <v>#REF!</v>
      </c>
      <c r="M594" s="46"/>
      <c r="N594" s="53">
        <f>(Tablo1[[#This Row],[KALAN ESANS]]/Tablo1[[#This Row],[Esans]]*0.01)*(Tablo1[[#This Row],[Alkol]]*100)</f>
        <v>0</v>
      </c>
      <c r="O594" s="53">
        <f>(Tablo1[[#This Row],[KALAN ESANS]]/Tablo1[[#This Row],[Esans]]*0.01)*(Tablo1[[#This Row],[Su]]*100)</f>
        <v>0</v>
      </c>
      <c r="P594" s="53">
        <f>Tablo1[[#This Row],[KALAN ESANS]]+Tablo1[[#This Row],[ALKOL Mik]]+Tablo1[[#This Row],[SU Mik]]</f>
        <v>0</v>
      </c>
    </row>
    <row r="595" spans="1:16" ht="15" customHeight="1" x14ac:dyDescent="0.2">
      <c r="A595" s="20" t="s">
        <v>716</v>
      </c>
      <c r="B595" s="37"/>
      <c r="C595" s="3">
        <v>0.04</v>
      </c>
      <c r="D595" s="3">
        <v>0.02</v>
      </c>
      <c r="E595" s="9">
        <f t="shared" si="9"/>
        <v>0.94</v>
      </c>
      <c r="F595" s="6" t="s">
        <v>38</v>
      </c>
      <c r="G595" s="6" t="s">
        <v>770</v>
      </c>
      <c r="H595" s="59" t="e">
        <f>((Tablo1[[#This Row],[Esans Fiyat]]/#REF!*Tablo1[[#This Row],[Esans]]*100)+(#REF!/1000*Tablo1[[#This Row],[Su]]*100)+(#REF!/1000*Tablo1[[#This Row],[Alkol]]*100))*(#REF!/100)+#REF!</f>
        <v>#REF!</v>
      </c>
      <c r="I595" s="6" t="s">
        <v>774</v>
      </c>
      <c r="J595" s="53" t="e">
        <f>#REF!*Tablo1[[#This Row],[Esans]]</f>
        <v>#REF!</v>
      </c>
      <c r="K595" s="53" t="e">
        <f>#REF!*Tablo1[[#This Row],[Su]]</f>
        <v>#REF!</v>
      </c>
      <c r="L595" s="53" t="e">
        <f>#REF!*Tablo1[[#This Row],[Alkol]]</f>
        <v>#REF!</v>
      </c>
      <c r="M595" s="46"/>
      <c r="N595" s="53">
        <f>(Tablo1[[#This Row],[KALAN ESANS]]/Tablo1[[#This Row],[Esans]]*0.01)*(Tablo1[[#This Row],[Alkol]]*100)</f>
        <v>0</v>
      </c>
      <c r="O595" s="53">
        <f>(Tablo1[[#This Row],[KALAN ESANS]]/Tablo1[[#This Row],[Esans]]*0.01)*(Tablo1[[#This Row],[Su]]*100)</f>
        <v>0</v>
      </c>
      <c r="P595" s="53">
        <f>Tablo1[[#This Row],[KALAN ESANS]]+Tablo1[[#This Row],[ALKOL Mik]]+Tablo1[[#This Row],[SU Mik]]</f>
        <v>0</v>
      </c>
    </row>
    <row r="596" spans="1:16" ht="15" customHeight="1" x14ac:dyDescent="0.2">
      <c r="A596" s="20" t="s">
        <v>711</v>
      </c>
      <c r="B596" s="37"/>
      <c r="C596" s="3">
        <v>0.04</v>
      </c>
      <c r="D596" s="3">
        <v>0.02</v>
      </c>
      <c r="E596" s="9">
        <f t="shared" si="9"/>
        <v>0.94</v>
      </c>
      <c r="F596" s="6" t="s">
        <v>38</v>
      </c>
      <c r="G596" s="6" t="s">
        <v>770</v>
      </c>
      <c r="H596" s="59" t="e">
        <f>((Tablo1[[#This Row],[Esans Fiyat]]/#REF!*Tablo1[[#This Row],[Esans]]*100)+(#REF!/1000*Tablo1[[#This Row],[Su]]*100)+(#REF!/1000*Tablo1[[#This Row],[Alkol]]*100))*(#REF!/100)+#REF!</f>
        <v>#REF!</v>
      </c>
      <c r="I596" s="6" t="s">
        <v>774</v>
      </c>
      <c r="J596" s="53" t="e">
        <f>#REF!*Tablo1[[#This Row],[Esans]]</f>
        <v>#REF!</v>
      </c>
      <c r="K596" s="53" t="e">
        <f>#REF!*Tablo1[[#This Row],[Su]]</f>
        <v>#REF!</v>
      </c>
      <c r="L596" s="53" t="e">
        <f>#REF!*Tablo1[[#This Row],[Alkol]]</f>
        <v>#REF!</v>
      </c>
      <c r="M596" s="46"/>
      <c r="N596" s="53">
        <f>(Tablo1[[#This Row],[KALAN ESANS]]/Tablo1[[#This Row],[Esans]]*0.01)*(Tablo1[[#This Row],[Alkol]]*100)</f>
        <v>0</v>
      </c>
      <c r="O596" s="53">
        <f>(Tablo1[[#This Row],[KALAN ESANS]]/Tablo1[[#This Row],[Esans]]*0.01)*(Tablo1[[#This Row],[Su]]*100)</f>
        <v>0</v>
      </c>
      <c r="P596" s="53">
        <f>Tablo1[[#This Row],[KALAN ESANS]]+Tablo1[[#This Row],[ALKOL Mik]]+Tablo1[[#This Row],[SU Mik]]</f>
        <v>0</v>
      </c>
    </row>
    <row r="597" spans="1:16" ht="15" customHeight="1" x14ac:dyDescent="0.2">
      <c r="A597" s="20" t="s">
        <v>710</v>
      </c>
      <c r="B597" s="37"/>
      <c r="C597" s="3">
        <v>0.04</v>
      </c>
      <c r="D597" s="3">
        <v>0.02</v>
      </c>
      <c r="E597" s="9">
        <f t="shared" si="9"/>
        <v>0.94</v>
      </c>
      <c r="F597" s="6" t="s">
        <v>38</v>
      </c>
      <c r="G597" s="6" t="s">
        <v>770</v>
      </c>
      <c r="H597" s="59" t="e">
        <f>((Tablo1[[#This Row],[Esans Fiyat]]/#REF!*Tablo1[[#This Row],[Esans]]*100)+(#REF!/1000*Tablo1[[#This Row],[Su]]*100)+(#REF!/1000*Tablo1[[#This Row],[Alkol]]*100))*(#REF!/100)+#REF!</f>
        <v>#REF!</v>
      </c>
      <c r="I597" s="6" t="s">
        <v>776</v>
      </c>
      <c r="J597" s="53" t="e">
        <f>#REF!*Tablo1[[#This Row],[Esans]]</f>
        <v>#REF!</v>
      </c>
      <c r="K597" s="53" t="e">
        <f>#REF!*Tablo1[[#This Row],[Su]]</f>
        <v>#REF!</v>
      </c>
      <c r="L597" s="53" t="e">
        <f>#REF!*Tablo1[[#This Row],[Alkol]]</f>
        <v>#REF!</v>
      </c>
      <c r="M597" s="46"/>
      <c r="N597" s="53">
        <f>(Tablo1[[#This Row],[KALAN ESANS]]/Tablo1[[#This Row],[Esans]]*0.01)*(Tablo1[[#This Row],[Alkol]]*100)</f>
        <v>0</v>
      </c>
      <c r="O597" s="53">
        <f>(Tablo1[[#This Row],[KALAN ESANS]]/Tablo1[[#This Row],[Esans]]*0.01)*(Tablo1[[#This Row],[Su]]*100)</f>
        <v>0</v>
      </c>
      <c r="P597" s="53">
        <f>Tablo1[[#This Row],[KALAN ESANS]]+Tablo1[[#This Row],[ALKOL Mik]]+Tablo1[[#This Row],[SU Mik]]</f>
        <v>0</v>
      </c>
    </row>
    <row r="598" spans="1:16" ht="15" customHeight="1" x14ac:dyDescent="0.2">
      <c r="A598" s="20" t="s">
        <v>558</v>
      </c>
      <c r="B598" s="37"/>
      <c r="C598" s="3">
        <v>0.2</v>
      </c>
      <c r="D598" s="3">
        <v>0.02</v>
      </c>
      <c r="E598" s="9">
        <f t="shared" si="9"/>
        <v>0.78</v>
      </c>
      <c r="F598" s="6" t="s">
        <v>25</v>
      </c>
      <c r="G598" s="6" t="s">
        <v>770</v>
      </c>
      <c r="H598" s="59" t="e">
        <f>((Tablo1[[#This Row],[Esans Fiyat]]/#REF!*Tablo1[[#This Row],[Esans]]*100)+(#REF!/1000*Tablo1[[#This Row],[Su]]*100)+(#REF!/1000*Tablo1[[#This Row],[Alkol]]*100))*(#REF!/100)+#REF!</f>
        <v>#REF!</v>
      </c>
      <c r="I598" s="6" t="s">
        <v>776</v>
      </c>
      <c r="J598" s="53" t="e">
        <f>#REF!*Tablo1[[#This Row],[Esans]]</f>
        <v>#REF!</v>
      </c>
      <c r="K598" s="53" t="e">
        <f>#REF!*Tablo1[[#This Row],[Su]]</f>
        <v>#REF!</v>
      </c>
      <c r="L598" s="53" t="e">
        <f>#REF!*Tablo1[[#This Row],[Alkol]]</f>
        <v>#REF!</v>
      </c>
      <c r="M598" s="46"/>
      <c r="N598" s="53">
        <f>(Tablo1[[#This Row],[KALAN ESANS]]/Tablo1[[#This Row],[Esans]]*0.01)*(Tablo1[[#This Row],[Alkol]]*100)</f>
        <v>0</v>
      </c>
      <c r="O598" s="53">
        <f>(Tablo1[[#This Row],[KALAN ESANS]]/Tablo1[[#This Row],[Esans]]*0.01)*(Tablo1[[#This Row],[Su]]*100)</f>
        <v>0</v>
      </c>
      <c r="P598" s="53">
        <f>Tablo1[[#This Row],[KALAN ESANS]]+Tablo1[[#This Row],[ALKOL Mik]]+Tablo1[[#This Row],[SU Mik]]</f>
        <v>0</v>
      </c>
    </row>
    <row r="599" spans="1:16" ht="15" customHeight="1" x14ac:dyDescent="0.2">
      <c r="A599" s="20" t="s">
        <v>708</v>
      </c>
      <c r="B599" s="37"/>
      <c r="C599" s="3">
        <v>0.2</v>
      </c>
      <c r="D599" s="3">
        <v>0.02</v>
      </c>
      <c r="E599" s="9">
        <f t="shared" si="9"/>
        <v>0.78</v>
      </c>
      <c r="F599" s="6" t="s">
        <v>25</v>
      </c>
      <c r="G599" s="6" t="s">
        <v>770</v>
      </c>
      <c r="H599" s="59" t="e">
        <f>((Tablo1[[#This Row],[Esans Fiyat]]/#REF!*Tablo1[[#This Row],[Esans]]*100)+(#REF!/1000*Tablo1[[#This Row],[Su]]*100)+(#REF!/1000*Tablo1[[#This Row],[Alkol]]*100))*(#REF!/100)+#REF!</f>
        <v>#REF!</v>
      </c>
      <c r="I599" s="6" t="s">
        <v>778</v>
      </c>
      <c r="J599" s="53" t="e">
        <f>#REF!*Tablo1[[#This Row],[Esans]]</f>
        <v>#REF!</v>
      </c>
      <c r="K599" s="53" t="e">
        <f>#REF!*Tablo1[[#This Row],[Su]]</f>
        <v>#REF!</v>
      </c>
      <c r="L599" s="53" t="e">
        <f>#REF!*Tablo1[[#This Row],[Alkol]]</f>
        <v>#REF!</v>
      </c>
      <c r="M599" s="46"/>
      <c r="N599" s="53">
        <f>(Tablo1[[#This Row],[KALAN ESANS]]/Tablo1[[#This Row],[Esans]]*0.01)*(Tablo1[[#This Row],[Alkol]]*100)</f>
        <v>0</v>
      </c>
      <c r="O599" s="53">
        <f>(Tablo1[[#This Row],[KALAN ESANS]]/Tablo1[[#This Row],[Esans]]*0.01)*(Tablo1[[#This Row],[Su]]*100)</f>
        <v>0</v>
      </c>
      <c r="P599" s="53">
        <f>Tablo1[[#This Row],[KALAN ESANS]]+Tablo1[[#This Row],[ALKOL Mik]]+Tablo1[[#This Row],[SU Mik]]</f>
        <v>0</v>
      </c>
    </row>
    <row r="600" spans="1:16" ht="15" customHeight="1" x14ac:dyDescent="0.2">
      <c r="A600" s="20" t="s">
        <v>709</v>
      </c>
      <c r="B600" s="37"/>
      <c r="C600" s="3">
        <v>0.2</v>
      </c>
      <c r="D600" s="3">
        <v>0</v>
      </c>
      <c r="E600" s="9">
        <f t="shared" si="9"/>
        <v>0.8</v>
      </c>
      <c r="F600" s="6" t="s">
        <v>25</v>
      </c>
      <c r="G600" s="6" t="s">
        <v>770</v>
      </c>
      <c r="H600" s="59" t="e">
        <f>((Tablo1[[#This Row],[Esans Fiyat]]/#REF!*Tablo1[[#This Row],[Esans]]*100)+(#REF!/1000*Tablo1[[#This Row],[Su]]*100)+(#REF!/1000*Tablo1[[#This Row],[Alkol]]*100))*(#REF!/100)+#REF!</f>
        <v>#REF!</v>
      </c>
      <c r="I600" s="6" t="s">
        <v>776</v>
      </c>
      <c r="J600" s="53" t="e">
        <f>#REF!*Tablo1[[#This Row],[Esans]]</f>
        <v>#REF!</v>
      </c>
      <c r="K600" s="53" t="e">
        <f>#REF!*Tablo1[[#This Row],[Su]]</f>
        <v>#REF!</v>
      </c>
      <c r="L600" s="53" t="e">
        <f>#REF!*Tablo1[[#This Row],[Alkol]]</f>
        <v>#REF!</v>
      </c>
      <c r="M600" s="46"/>
      <c r="N600" s="53">
        <f>(Tablo1[[#This Row],[KALAN ESANS]]/Tablo1[[#This Row],[Esans]]*0.01)*(Tablo1[[#This Row],[Alkol]]*100)</f>
        <v>0</v>
      </c>
      <c r="O600" s="53">
        <f>(Tablo1[[#This Row],[KALAN ESANS]]/Tablo1[[#This Row],[Esans]]*0.01)*(Tablo1[[#This Row],[Su]]*100)</f>
        <v>0</v>
      </c>
      <c r="P600" s="53">
        <f>Tablo1[[#This Row],[KALAN ESANS]]+Tablo1[[#This Row],[ALKOL Mik]]+Tablo1[[#This Row],[SU Mik]]</f>
        <v>0</v>
      </c>
    </row>
    <row r="601" spans="1:16" ht="15" customHeight="1" x14ac:dyDescent="0.2">
      <c r="A601" s="20" t="s">
        <v>706</v>
      </c>
      <c r="B601" s="37"/>
      <c r="C601" s="3">
        <v>0.2</v>
      </c>
      <c r="D601" s="3">
        <v>0.02</v>
      </c>
      <c r="E601" s="9">
        <f t="shared" si="9"/>
        <v>0.78</v>
      </c>
      <c r="F601" s="6" t="s">
        <v>25</v>
      </c>
      <c r="G601" s="6" t="s">
        <v>770</v>
      </c>
      <c r="H601" s="59" t="e">
        <f>((Tablo1[[#This Row],[Esans Fiyat]]/#REF!*Tablo1[[#This Row],[Esans]]*100)+(#REF!/1000*Tablo1[[#This Row],[Su]]*100)+(#REF!/1000*Tablo1[[#This Row],[Alkol]]*100))*(#REF!/100)+#REF!</f>
        <v>#REF!</v>
      </c>
      <c r="I601" s="6" t="s">
        <v>776</v>
      </c>
      <c r="J601" s="53" t="e">
        <f>#REF!*Tablo1[[#This Row],[Esans]]</f>
        <v>#REF!</v>
      </c>
      <c r="K601" s="53" t="e">
        <f>#REF!*Tablo1[[#This Row],[Su]]</f>
        <v>#REF!</v>
      </c>
      <c r="L601" s="53" t="e">
        <f>#REF!*Tablo1[[#This Row],[Alkol]]</f>
        <v>#REF!</v>
      </c>
      <c r="M601" s="46"/>
      <c r="N601" s="53">
        <f>(Tablo1[[#This Row],[KALAN ESANS]]/Tablo1[[#This Row],[Esans]]*0.01)*(Tablo1[[#This Row],[Alkol]]*100)</f>
        <v>0</v>
      </c>
      <c r="O601" s="53">
        <f>(Tablo1[[#This Row],[KALAN ESANS]]/Tablo1[[#This Row],[Esans]]*0.01)*(Tablo1[[#This Row],[Su]]*100)</f>
        <v>0</v>
      </c>
      <c r="P601" s="53">
        <f>Tablo1[[#This Row],[KALAN ESANS]]+Tablo1[[#This Row],[ALKOL Mik]]+Tablo1[[#This Row],[SU Mik]]</f>
        <v>0</v>
      </c>
    </row>
    <row r="602" spans="1:16" ht="15" customHeight="1" x14ac:dyDescent="0.2">
      <c r="A602" s="20" t="s">
        <v>707</v>
      </c>
      <c r="B602" s="37"/>
      <c r="C602" s="3">
        <v>0.2</v>
      </c>
      <c r="D602" s="3">
        <v>0.02</v>
      </c>
      <c r="E602" s="9">
        <f t="shared" si="9"/>
        <v>0.78</v>
      </c>
      <c r="F602" s="6" t="s">
        <v>25</v>
      </c>
      <c r="G602" s="6" t="s">
        <v>770</v>
      </c>
      <c r="H602" s="59" t="e">
        <f>((Tablo1[[#This Row],[Esans Fiyat]]/#REF!*Tablo1[[#This Row],[Esans]]*100)+(#REF!/1000*Tablo1[[#This Row],[Su]]*100)+(#REF!/1000*Tablo1[[#This Row],[Alkol]]*100))*(#REF!/100)+#REF!</f>
        <v>#REF!</v>
      </c>
      <c r="I602" s="6" t="s">
        <v>776</v>
      </c>
      <c r="J602" s="53" t="e">
        <f>#REF!*Tablo1[[#This Row],[Esans]]</f>
        <v>#REF!</v>
      </c>
      <c r="K602" s="53" t="e">
        <f>#REF!*Tablo1[[#This Row],[Su]]</f>
        <v>#REF!</v>
      </c>
      <c r="L602" s="53" t="e">
        <f>#REF!*Tablo1[[#This Row],[Alkol]]</f>
        <v>#REF!</v>
      </c>
      <c r="M602" s="46"/>
      <c r="N602" s="53">
        <f>(Tablo1[[#This Row],[KALAN ESANS]]/Tablo1[[#This Row],[Esans]]*0.01)*(Tablo1[[#This Row],[Alkol]]*100)</f>
        <v>0</v>
      </c>
      <c r="O602" s="53">
        <f>(Tablo1[[#This Row],[KALAN ESANS]]/Tablo1[[#This Row],[Esans]]*0.01)*(Tablo1[[#This Row],[Su]]*100)</f>
        <v>0</v>
      </c>
      <c r="P602" s="53">
        <f>Tablo1[[#This Row],[KALAN ESANS]]+Tablo1[[#This Row],[ALKOL Mik]]+Tablo1[[#This Row],[SU Mik]]</f>
        <v>0</v>
      </c>
    </row>
    <row r="603" spans="1:16" ht="15" customHeight="1" x14ac:dyDescent="0.2">
      <c r="A603" s="20" t="s">
        <v>556</v>
      </c>
      <c r="B603" s="37"/>
      <c r="C603" s="3">
        <v>0.2</v>
      </c>
      <c r="D603" s="3">
        <v>0.02</v>
      </c>
      <c r="E603" s="9">
        <f t="shared" si="9"/>
        <v>0.78</v>
      </c>
      <c r="F603" s="6" t="s">
        <v>25</v>
      </c>
      <c r="G603" s="6" t="s">
        <v>770</v>
      </c>
      <c r="H603" s="59" t="e">
        <f>((Tablo1[[#This Row],[Esans Fiyat]]/#REF!*Tablo1[[#This Row],[Esans]]*100)+(#REF!/1000*Tablo1[[#This Row],[Su]]*100)+(#REF!/1000*Tablo1[[#This Row],[Alkol]]*100))*(#REF!/100)+#REF!</f>
        <v>#REF!</v>
      </c>
      <c r="I603" s="6" t="s">
        <v>772</v>
      </c>
      <c r="J603" s="53" t="e">
        <f>#REF!*Tablo1[[#This Row],[Esans]]</f>
        <v>#REF!</v>
      </c>
      <c r="K603" s="53" t="e">
        <f>#REF!*Tablo1[[#This Row],[Su]]</f>
        <v>#REF!</v>
      </c>
      <c r="L603" s="53" t="e">
        <f>#REF!*Tablo1[[#This Row],[Alkol]]</f>
        <v>#REF!</v>
      </c>
      <c r="M603" s="46"/>
      <c r="N603" s="53">
        <f>(Tablo1[[#This Row],[KALAN ESANS]]/Tablo1[[#This Row],[Esans]]*0.01)*(Tablo1[[#This Row],[Alkol]]*100)</f>
        <v>0</v>
      </c>
      <c r="O603" s="53">
        <f>(Tablo1[[#This Row],[KALAN ESANS]]/Tablo1[[#This Row],[Esans]]*0.01)*(Tablo1[[#This Row],[Su]]*100)</f>
        <v>0</v>
      </c>
      <c r="P603" s="53">
        <f>Tablo1[[#This Row],[KALAN ESANS]]+Tablo1[[#This Row],[ALKOL Mik]]+Tablo1[[#This Row],[SU Mik]]</f>
        <v>0</v>
      </c>
    </row>
    <row r="604" spans="1:16" ht="15" customHeight="1" x14ac:dyDescent="0.2">
      <c r="A604" s="20" t="s">
        <v>703</v>
      </c>
      <c r="B604" s="37"/>
      <c r="C604" s="3">
        <v>0.18</v>
      </c>
      <c r="D604" s="3">
        <v>0.02</v>
      </c>
      <c r="E604" s="9">
        <f t="shared" si="9"/>
        <v>0.8</v>
      </c>
      <c r="F604" s="6" t="s">
        <v>25</v>
      </c>
      <c r="G604" s="6" t="s">
        <v>770</v>
      </c>
      <c r="H604" s="59" t="e">
        <f>((Tablo1[[#This Row],[Esans Fiyat]]/#REF!*Tablo1[[#This Row],[Esans]]*100)+(#REF!/1000*Tablo1[[#This Row],[Su]]*100)+(#REF!/1000*Tablo1[[#This Row],[Alkol]]*100))*(#REF!/100)+#REF!</f>
        <v>#REF!</v>
      </c>
      <c r="I604" s="6" t="s">
        <v>772</v>
      </c>
      <c r="J604" s="53" t="e">
        <f>#REF!*Tablo1[[#This Row],[Esans]]</f>
        <v>#REF!</v>
      </c>
      <c r="K604" s="53" t="e">
        <f>#REF!*Tablo1[[#This Row],[Su]]</f>
        <v>#REF!</v>
      </c>
      <c r="L604" s="53" t="e">
        <f>#REF!*Tablo1[[#This Row],[Alkol]]</f>
        <v>#REF!</v>
      </c>
      <c r="M604" s="46"/>
      <c r="N604" s="53">
        <f>(Tablo1[[#This Row],[KALAN ESANS]]/Tablo1[[#This Row],[Esans]]*0.01)*(Tablo1[[#This Row],[Alkol]]*100)</f>
        <v>0</v>
      </c>
      <c r="O604" s="53">
        <f>(Tablo1[[#This Row],[KALAN ESANS]]/Tablo1[[#This Row],[Esans]]*0.01)*(Tablo1[[#This Row],[Su]]*100)</f>
        <v>0</v>
      </c>
      <c r="P604" s="53">
        <f>Tablo1[[#This Row],[KALAN ESANS]]+Tablo1[[#This Row],[ALKOL Mik]]+Tablo1[[#This Row],[SU Mik]]</f>
        <v>0</v>
      </c>
    </row>
    <row r="605" spans="1:16" ht="15" customHeight="1" x14ac:dyDescent="0.2">
      <c r="A605" s="20" t="s">
        <v>705</v>
      </c>
      <c r="B605" s="37"/>
      <c r="C605" s="3">
        <v>0.2</v>
      </c>
      <c r="D605" s="3">
        <v>0.02</v>
      </c>
      <c r="E605" s="9">
        <f t="shared" si="9"/>
        <v>0.78</v>
      </c>
      <c r="F605" s="6" t="s">
        <v>25</v>
      </c>
      <c r="G605" s="6" t="s">
        <v>770</v>
      </c>
      <c r="H605" s="59" t="e">
        <f>((Tablo1[[#This Row],[Esans Fiyat]]/#REF!*Tablo1[[#This Row],[Esans]]*100)+(#REF!/1000*Tablo1[[#This Row],[Su]]*100)+(#REF!/1000*Tablo1[[#This Row],[Alkol]]*100))*(#REF!/100)+#REF!</f>
        <v>#REF!</v>
      </c>
      <c r="I605" s="6" t="s">
        <v>772</v>
      </c>
      <c r="J605" s="53" t="e">
        <f>#REF!*Tablo1[[#This Row],[Esans]]</f>
        <v>#REF!</v>
      </c>
      <c r="K605" s="53" t="e">
        <f>#REF!*Tablo1[[#This Row],[Su]]</f>
        <v>#REF!</v>
      </c>
      <c r="L605" s="53" t="e">
        <f>#REF!*Tablo1[[#This Row],[Alkol]]</f>
        <v>#REF!</v>
      </c>
      <c r="M605" s="46"/>
      <c r="N605" s="53">
        <f>(Tablo1[[#This Row],[KALAN ESANS]]/Tablo1[[#This Row],[Esans]]*0.01)*(Tablo1[[#This Row],[Alkol]]*100)</f>
        <v>0</v>
      </c>
      <c r="O605" s="53">
        <f>(Tablo1[[#This Row],[KALAN ESANS]]/Tablo1[[#This Row],[Esans]]*0.01)*(Tablo1[[#This Row],[Su]]*100)</f>
        <v>0</v>
      </c>
      <c r="P605" s="53">
        <f>Tablo1[[#This Row],[KALAN ESANS]]+Tablo1[[#This Row],[ALKOL Mik]]+Tablo1[[#This Row],[SU Mik]]</f>
        <v>0</v>
      </c>
    </row>
    <row r="606" spans="1:16" ht="15" customHeight="1" x14ac:dyDescent="0.2">
      <c r="A606" s="20" t="s">
        <v>704</v>
      </c>
      <c r="B606" s="37"/>
      <c r="C606" s="3">
        <v>0.2</v>
      </c>
      <c r="D606" s="3">
        <v>0</v>
      </c>
      <c r="E606" s="9">
        <f t="shared" si="9"/>
        <v>0.8</v>
      </c>
      <c r="F606" s="6" t="s">
        <v>25</v>
      </c>
      <c r="G606" s="6" t="s">
        <v>770</v>
      </c>
      <c r="H606" s="59" t="e">
        <f>((Tablo1[[#This Row],[Esans Fiyat]]/#REF!*Tablo1[[#This Row],[Esans]]*100)+(#REF!/1000*Tablo1[[#This Row],[Su]]*100)+(#REF!/1000*Tablo1[[#This Row],[Alkol]]*100))*(#REF!/100)+#REF!</f>
        <v>#REF!</v>
      </c>
      <c r="I606" s="6" t="s">
        <v>772</v>
      </c>
      <c r="J606" s="53" t="e">
        <f>#REF!*Tablo1[[#This Row],[Esans]]</f>
        <v>#REF!</v>
      </c>
      <c r="K606" s="53" t="e">
        <f>#REF!*Tablo1[[#This Row],[Su]]</f>
        <v>#REF!</v>
      </c>
      <c r="L606" s="53" t="e">
        <f>#REF!*Tablo1[[#This Row],[Alkol]]</f>
        <v>#REF!</v>
      </c>
      <c r="M606" s="46"/>
      <c r="N606" s="53">
        <f>(Tablo1[[#This Row],[KALAN ESANS]]/Tablo1[[#This Row],[Esans]]*0.01)*(Tablo1[[#This Row],[Alkol]]*100)</f>
        <v>0</v>
      </c>
      <c r="O606" s="53">
        <f>(Tablo1[[#This Row],[KALAN ESANS]]/Tablo1[[#This Row],[Esans]]*0.01)*(Tablo1[[#This Row],[Su]]*100)</f>
        <v>0</v>
      </c>
      <c r="P606" s="53">
        <f>Tablo1[[#This Row],[KALAN ESANS]]+Tablo1[[#This Row],[ALKOL Mik]]+Tablo1[[#This Row],[SU Mik]]</f>
        <v>0</v>
      </c>
    </row>
    <row r="607" spans="1:16" ht="15" customHeight="1" x14ac:dyDescent="0.2">
      <c r="A607" s="20" t="s">
        <v>702</v>
      </c>
      <c r="B607" s="37"/>
      <c r="C607" s="3">
        <v>0.17</v>
      </c>
      <c r="D607" s="3">
        <v>0.02</v>
      </c>
      <c r="E607" s="9">
        <f t="shared" si="9"/>
        <v>0.80999999999999994</v>
      </c>
      <c r="F607" s="6" t="s">
        <v>25</v>
      </c>
      <c r="G607" s="6" t="s">
        <v>770</v>
      </c>
      <c r="H607" s="59" t="e">
        <f>((Tablo1[[#This Row],[Esans Fiyat]]/#REF!*Tablo1[[#This Row],[Esans]]*100)+(#REF!/1000*Tablo1[[#This Row],[Su]]*100)+(#REF!/1000*Tablo1[[#This Row],[Alkol]]*100))*(#REF!/100)+#REF!</f>
        <v>#REF!</v>
      </c>
      <c r="I607" s="6" t="s">
        <v>772</v>
      </c>
      <c r="J607" s="53" t="e">
        <f>#REF!*Tablo1[[#This Row],[Esans]]</f>
        <v>#REF!</v>
      </c>
      <c r="K607" s="53" t="e">
        <f>#REF!*Tablo1[[#This Row],[Su]]</f>
        <v>#REF!</v>
      </c>
      <c r="L607" s="53" t="e">
        <f>#REF!*Tablo1[[#This Row],[Alkol]]</f>
        <v>#REF!</v>
      </c>
      <c r="M607" s="46"/>
      <c r="N607" s="53">
        <f>(Tablo1[[#This Row],[KALAN ESANS]]/Tablo1[[#This Row],[Esans]]*0.01)*(Tablo1[[#This Row],[Alkol]]*100)</f>
        <v>0</v>
      </c>
      <c r="O607" s="53">
        <f>(Tablo1[[#This Row],[KALAN ESANS]]/Tablo1[[#This Row],[Esans]]*0.01)*(Tablo1[[#This Row],[Su]]*100)</f>
        <v>0</v>
      </c>
      <c r="P607" s="53">
        <f>Tablo1[[#This Row],[KALAN ESANS]]+Tablo1[[#This Row],[ALKOL Mik]]+Tablo1[[#This Row],[SU Mik]]</f>
        <v>0</v>
      </c>
    </row>
    <row r="608" spans="1:16" ht="15" customHeight="1" x14ac:dyDescent="0.2">
      <c r="A608" s="20" t="s">
        <v>557</v>
      </c>
      <c r="B608" s="37"/>
      <c r="C608" s="3">
        <v>0.22</v>
      </c>
      <c r="D608" s="3">
        <v>0.02</v>
      </c>
      <c r="E608" s="9">
        <f t="shared" si="9"/>
        <v>0.76</v>
      </c>
      <c r="F608" s="6" t="s">
        <v>25</v>
      </c>
      <c r="G608" s="6" t="s">
        <v>770</v>
      </c>
      <c r="H608" s="59" t="e">
        <f>((Tablo1[[#This Row],[Esans Fiyat]]/#REF!*Tablo1[[#This Row],[Esans]]*100)+(#REF!/1000*Tablo1[[#This Row],[Su]]*100)+(#REF!/1000*Tablo1[[#This Row],[Alkol]]*100))*(#REF!/100)+#REF!</f>
        <v>#REF!</v>
      </c>
      <c r="I608" s="6" t="s">
        <v>772</v>
      </c>
      <c r="J608" s="53" t="e">
        <f>#REF!*Tablo1[[#This Row],[Esans]]</f>
        <v>#REF!</v>
      </c>
      <c r="K608" s="53" t="e">
        <f>#REF!*Tablo1[[#This Row],[Su]]</f>
        <v>#REF!</v>
      </c>
      <c r="L608" s="53" t="e">
        <f>#REF!*Tablo1[[#This Row],[Alkol]]</f>
        <v>#REF!</v>
      </c>
      <c r="M608" s="46"/>
      <c r="N608" s="53">
        <f>(Tablo1[[#This Row],[KALAN ESANS]]/Tablo1[[#This Row],[Esans]]*0.01)*(Tablo1[[#This Row],[Alkol]]*100)</f>
        <v>0</v>
      </c>
      <c r="O608" s="53">
        <f>(Tablo1[[#This Row],[KALAN ESANS]]/Tablo1[[#This Row],[Esans]]*0.01)*(Tablo1[[#This Row],[Su]]*100)</f>
        <v>0</v>
      </c>
      <c r="P608" s="53">
        <f>Tablo1[[#This Row],[KALAN ESANS]]+Tablo1[[#This Row],[ALKOL Mik]]+Tablo1[[#This Row],[SU Mik]]</f>
        <v>0</v>
      </c>
    </row>
    <row r="609" spans="1:16" ht="15" customHeight="1" x14ac:dyDescent="0.2">
      <c r="A609" s="20" t="s">
        <v>696</v>
      </c>
      <c r="B609" s="37"/>
      <c r="C609" s="3">
        <v>0.2</v>
      </c>
      <c r="D609" s="3">
        <v>0.02</v>
      </c>
      <c r="E609" s="9">
        <f t="shared" si="9"/>
        <v>0.78</v>
      </c>
      <c r="F609" s="6" t="s">
        <v>779</v>
      </c>
      <c r="G609" s="6" t="s">
        <v>770</v>
      </c>
      <c r="H609" s="59" t="e">
        <f>((Tablo1[[#This Row],[Esans Fiyat]]/#REF!*Tablo1[[#This Row],[Esans]]*100)+(#REF!/1000*Tablo1[[#This Row],[Su]]*100)+(#REF!/1000*Tablo1[[#This Row],[Alkol]]*100))*(#REF!/100)+#REF!</f>
        <v>#REF!</v>
      </c>
      <c r="I609" s="6" t="s">
        <v>772</v>
      </c>
      <c r="J609" s="53" t="e">
        <f>#REF!*Tablo1[[#This Row],[Esans]]</f>
        <v>#REF!</v>
      </c>
      <c r="K609" s="53" t="e">
        <f>#REF!*Tablo1[[#This Row],[Su]]</f>
        <v>#REF!</v>
      </c>
      <c r="L609" s="53" t="e">
        <f>#REF!*Tablo1[[#This Row],[Alkol]]</f>
        <v>#REF!</v>
      </c>
      <c r="M609" s="46"/>
      <c r="N609" s="53">
        <f>(Tablo1[[#This Row],[KALAN ESANS]]/Tablo1[[#This Row],[Esans]]*0.01)*(Tablo1[[#This Row],[Alkol]]*100)</f>
        <v>0</v>
      </c>
      <c r="O609" s="53">
        <f>(Tablo1[[#This Row],[KALAN ESANS]]/Tablo1[[#This Row],[Esans]]*0.01)*(Tablo1[[#This Row],[Su]]*100)</f>
        <v>0</v>
      </c>
      <c r="P609" s="53">
        <f>Tablo1[[#This Row],[KALAN ESANS]]+Tablo1[[#This Row],[ALKOL Mik]]+Tablo1[[#This Row],[SU Mik]]</f>
        <v>0</v>
      </c>
    </row>
    <row r="610" spans="1:16" ht="15" customHeight="1" x14ac:dyDescent="0.2">
      <c r="A610" s="20" t="s">
        <v>690</v>
      </c>
      <c r="B610" s="37"/>
      <c r="C610" s="3">
        <v>0.2</v>
      </c>
      <c r="D610" s="3">
        <v>0.02</v>
      </c>
      <c r="E610" s="9">
        <f t="shared" si="9"/>
        <v>0.78</v>
      </c>
      <c r="F610" s="6" t="s">
        <v>779</v>
      </c>
      <c r="G610" s="6" t="s">
        <v>770</v>
      </c>
      <c r="H610" s="59" t="e">
        <f>((Tablo1[[#This Row],[Esans Fiyat]]/#REF!*Tablo1[[#This Row],[Esans]]*100)+(#REF!/1000*Tablo1[[#This Row],[Su]]*100)+(#REF!/1000*Tablo1[[#This Row],[Alkol]]*100))*(#REF!/100)+#REF!</f>
        <v>#REF!</v>
      </c>
      <c r="I610" s="6" t="s">
        <v>772</v>
      </c>
      <c r="J610" s="53" t="e">
        <f>#REF!*Tablo1[[#This Row],[Esans]]</f>
        <v>#REF!</v>
      </c>
      <c r="K610" s="53" t="e">
        <f>#REF!*Tablo1[[#This Row],[Su]]</f>
        <v>#REF!</v>
      </c>
      <c r="L610" s="53" t="e">
        <f>#REF!*Tablo1[[#This Row],[Alkol]]</f>
        <v>#REF!</v>
      </c>
      <c r="M610" s="46"/>
      <c r="N610" s="53">
        <f>(Tablo1[[#This Row],[KALAN ESANS]]/Tablo1[[#This Row],[Esans]]*0.01)*(Tablo1[[#This Row],[Alkol]]*100)</f>
        <v>0</v>
      </c>
      <c r="O610" s="53">
        <f>(Tablo1[[#This Row],[KALAN ESANS]]/Tablo1[[#This Row],[Esans]]*0.01)*(Tablo1[[#This Row],[Su]]*100)</f>
        <v>0</v>
      </c>
      <c r="P610" s="53">
        <f>Tablo1[[#This Row],[KALAN ESANS]]+Tablo1[[#This Row],[ALKOL Mik]]+Tablo1[[#This Row],[SU Mik]]</f>
        <v>0</v>
      </c>
    </row>
    <row r="611" spans="1:16" ht="15" customHeight="1" x14ac:dyDescent="0.2">
      <c r="A611" s="20" t="s">
        <v>698</v>
      </c>
      <c r="B611" s="37"/>
      <c r="C611" s="3">
        <v>0.2</v>
      </c>
      <c r="D611" s="3">
        <v>0.02</v>
      </c>
      <c r="E611" s="9">
        <f t="shared" si="9"/>
        <v>0.78</v>
      </c>
      <c r="F611" s="6" t="s">
        <v>25</v>
      </c>
      <c r="G611" s="6" t="s">
        <v>770</v>
      </c>
      <c r="H611" s="59" t="e">
        <f>((Tablo1[[#This Row],[Esans Fiyat]]/#REF!*Tablo1[[#This Row],[Esans]]*100)+(#REF!/1000*Tablo1[[#This Row],[Su]]*100)+(#REF!/1000*Tablo1[[#This Row],[Alkol]]*100))*(#REF!/100)+#REF!</f>
        <v>#REF!</v>
      </c>
      <c r="I611" s="6" t="s">
        <v>776</v>
      </c>
      <c r="J611" s="53" t="e">
        <f>#REF!*Tablo1[[#This Row],[Esans]]</f>
        <v>#REF!</v>
      </c>
      <c r="K611" s="53" t="e">
        <f>#REF!*Tablo1[[#This Row],[Su]]</f>
        <v>#REF!</v>
      </c>
      <c r="L611" s="53" t="e">
        <f>#REF!*Tablo1[[#This Row],[Alkol]]</f>
        <v>#REF!</v>
      </c>
      <c r="M611" s="46"/>
      <c r="N611" s="53">
        <f>(Tablo1[[#This Row],[KALAN ESANS]]/Tablo1[[#This Row],[Esans]]*0.01)*(Tablo1[[#This Row],[Alkol]]*100)</f>
        <v>0</v>
      </c>
      <c r="O611" s="53">
        <f>(Tablo1[[#This Row],[KALAN ESANS]]/Tablo1[[#This Row],[Esans]]*0.01)*(Tablo1[[#This Row],[Su]]*100)</f>
        <v>0</v>
      </c>
      <c r="P611" s="53">
        <f>Tablo1[[#This Row],[KALAN ESANS]]+Tablo1[[#This Row],[ALKOL Mik]]+Tablo1[[#This Row],[SU Mik]]</f>
        <v>0</v>
      </c>
    </row>
    <row r="612" spans="1:16" ht="15" customHeight="1" x14ac:dyDescent="0.2">
      <c r="A612" s="20" t="s">
        <v>701</v>
      </c>
      <c r="B612" s="37"/>
      <c r="C612" s="3">
        <v>0.15</v>
      </c>
      <c r="D612" s="3">
        <v>0.02</v>
      </c>
      <c r="E612" s="9">
        <f t="shared" si="9"/>
        <v>0.83</v>
      </c>
      <c r="F612" s="6" t="s">
        <v>28</v>
      </c>
      <c r="G612" s="6" t="s">
        <v>770</v>
      </c>
      <c r="H612" s="59" t="e">
        <f>((Tablo1[[#This Row],[Esans Fiyat]]/#REF!*Tablo1[[#This Row],[Esans]]*100)+(#REF!/1000*Tablo1[[#This Row],[Su]]*100)+(#REF!/1000*Tablo1[[#This Row],[Alkol]]*100))*(#REF!/100)+#REF!</f>
        <v>#REF!</v>
      </c>
      <c r="I612" s="6" t="s">
        <v>776</v>
      </c>
      <c r="J612" s="53" t="e">
        <f>#REF!*Tablo1[[#This Row],[Esans]]</f>
        <v>#REF!</v>
      </c>
      <c r="K612" s="53" t="e">
        <f>#REF!*Tablo1[[#This Row],[Su]]</f>
        <v>#REF!</v>
      </c>
      <c r="L612" s="53" t="e">
        <f>#REF!*Tablo1[[#This Row],[Alkol]]</f>
        <v>#REF!</v>
      </c>
      <c r="M612" s="46"/>
      <c r="N612" s="53">
        <f>(Tablo1[[#This Row],[KALAN ESANS]]/Tablo1[[#This Row],[Esans]]*0.01)*(Tablo1[[#This Row],[Alkol]]*100)</f>
        <v>0</v>
      </c>
      <c r="O612" s="53">
        <f>(Tablo1[[#This Row],[KALAN ESANS]]/Tablo1[[#This Row],[Esans]]*0.01)*(Tablo1[[#This Row],[Su]]*100)</f>
        <v>0</v>
      </c>
      <c r="P612" s="53">
        <f>Tablo1[[#This Row],[KALAN ESANS]]+Tablo1[[#This Row],[ALKOL Mik]]+Tablo1[[#This Row],[SU Mik]]</f>
        <v>0</v>
      </c>
    </row>
    <row r="613" spans="1:16" ht="15" customHeight="1" x14ac:dyDescent="0.2">
      <c r="A613" s="20" t="s">
        <v>699</v>
      </c>
      <c r="B613" s="37"/>
      <c r="C613" s="3">
        <v>0.21</v>
      </c>
      <c r="D613" s="3">
        <v>0.02</v>
      </c>
      <c r="E613" s="9">
        <f t="shared" si="9"/>
        <v>0.77</v>
      </c>
      <c r="F613" s="6" t="s">
        <v>25</v>
      </c>
      <c r="G613" s="6" t="s">
        <v>770</v>
      </c>
      <c r="H613" s="59" t="e">
        <f>((Tablo1[[#This Row],[Esans Fiyat]]/#REF!*Tablo1[[#This Row],[Esans]]*100)+(#REF!/1000*Tablo1[[#This Row],[Su]]*100)+(#REF!/1000*Tablo1[[#This Row],[Alkol]]*100))*(#REF!/100)+#REF!</f>
        <v>#REF!</v>
      </c>
      <c r="I613" s="6" t="s">
        <v>772</v>
      </c>
      <c r="J613" s="53" t="e">
        <f>#REF!*Tablo1[[#This Row],[Esans]]</f>
        <v>#REF!</v>
      </c>
      <c r="K613" s="53" t="e">
        <f>#REF!*Tablo1[[#This Row],[Su]]</f>
        <v>#REF!</v>
      </c>
      <c r="L613" s="53" t="e">
        <f>#REF!*Tablo1[[#This Row],[Alkol]]</f>
        <v>#REF!</v>
      </c>
      <c r="M613" s="46"/>
      <c r="N613" s="53">
        <f>(Tablo1[[#This Row],[KALAN ESANS]]/Tablo1[[#This Row],[Esans]]*0.01)*(Tablo1[[#This Row],[Alkol]]*100)</f>
        <v>0</v>
      </c>
      <c r="O613" s="53">
        <f>(Tablo1[[#This Row],[KALAN ESANS]]/Tablo1[[#This Row],[Esans]]*0.01)*(Tablo1[[#This Row],[Su]]*100)</f>
        <v>0</v>
      </c>
      <c r="P613" s="53">
        <f>Tablo1[[#This Row],[KALAN ESANS]]+Tablo1[[#This Row],[ALKOL Mik]]+Tablo1[[#This Row],[SU Mik]]</f>
        <v>0</v>
      </c>
    </row>
    <row r="614" spans="1:16" ht="15" customHeight="1" x14ac:dyDescent="0.2">
      <c r="A614" s="20" t="s">
        <v>700</v>
      </c>
      <c r="B614" s="37"/>
      <c r="C614" s="3">
        <v>0.15</v>
      </c>
      <c r="D614" s="3">
        <v>0.02</v>
      </c>
      <c r="E614" s="9">
        <f t="shared" si="9"/>
        <v>0.83</v>
      </c>
      <c r="F614" s="6" t="s">
        <v>28</v>
      </c>
      <c r="G614" s="6" t="s">
        <v>770</v>
      </c>
      <c r="H614" s="59" t="e">
        <f>((Tablo1[[#This Row],[Esans Fiyat]]/#REF!*Tablo1[[#This Row],[Esans]]*100)+(#REF!/1000*Tablo1[[#This Row],[Su]]*100)+(#REF!/1000*Tablo1[[#This Row],[Alkol]]*100))*(#REF!/100)+#REF!</f>
        <v>#REF!</v>
      </c>
      <c r="I614" s="6" t="s">
        <v>776</v>
      </c>
      <c r="J614" s="53" t="e">
        <f>#REF!*Tablo1[[#This Row],[Esans]]</f>
        <v>#REF!</v>
      </c>
      <c r="K614" s="53" t="e">
        <f>#REF!*Tablo1[[#This Row],[Su]]</f>
        <v>#REF!</v>
      </c>
      <c r="L614" s="53" t="e">
        <f>#REF!*Tablo1[[#This Row],[Alkol]]</f>
        <v>#REF!</v>
      </c>
      <c r="M614" s="46"/>
      <c r="N614" s="53">
        <f>(Tablo1[[#This Row],[KALAN ESANS]]/Tablo1[[#This Row],[Esans]]*0.01)*(Tablo1[[#This Row],[Alkol]]*100)</f>
        <v>0</v>
      </c>
      <c r="O614" s="53">
        <f>(Tablo1[[#This Row],[KALAN ESANS]]/Tablo1[[#This Row],[Esans]]*0.01)*(Tablo1[[#This Row],[Su]]*100)</f>
        <v>0</v>
      </c>
      <c r="P614" s="53">
        <f>Tablo1[[#This Row],[KALAN ESANS]]+Tablo1[[#This Row],[ALKOL Mik]]+Tablo1[[#This Row],[SU Mik]]</f>
        <v>0</v>
      </c>
    </row>
    <row r="615" spans="1:16" ht="15" customHeight="1" x14ac:dyDescent="0.2">
      <c r="A615" s="20" t="s">
        <v>697</v>
      </c>
      <c r="B615" s="37"/>
      <c r="C615" s="3">
        <v>0.17</v>
      </c>
      <c r="D615" s="3">
        <v>0.02</v>
      </c>
      <c r="E615" s="9">
        <f t="shared" si="9"/>
        <v>0.80999999999999994</v>
      </c>
      <c r="F615" s="6" t="s">
        <v>25</v>
      </c>
      <c r="G615" s="6" t="s">
        <v>770</v>
      </c>
      <c r="H615" s="59" t="e">
        <f>((Tablo1[[#This Row],[Esans Fiyat]]/#REF!*Tablo1[[#This Row],[Esans]]*100)+(#REF!/1000*Tablo1[[#This Row],[Su]]*100)+(#REF!/1000*Tablo1[[#This Row],[Alkol]]*100))*(#REF!/100)+#REF!</f>
        <v>#REF!</v>
      </c>
      <c r="I615" s="6" t="s">
        <v>772</v>
      </c>
      <c r="J615" s="53" t="e">
        <f>#REF!*Tablo1[[#This Row],[Esans]]</f>
        <v>#REF!</v>
      </c>
      <c r="K615" s="53" t="e">
        <f>#REF!*Tablo1[[#This Row],[Su]]</f>
        <v>#REF!</v>
      </c>
      <c r="L615" s="53" t="e">
        <f>#REF!*Tablo1[[#This Row],[Alkol]]</f>
        <v>#REF!</v>
      </c>
      <c r="M615" s="46"/>
      <c r="N615" s="53">
        <f>(Tablo1[[#This Row],[KALAN ESANS]]/Tablo1[[#This Row],[Esans]]*0.01)*(Tablo1[[#This Row],[Alkol]]*100)</f>
        <v>0</v>
      </c>
      <c r="O615" s="53">
        <f>(Tablo1[[#This Row],[KALAN ESANS]]/Tablo1[[#This Row],[Esans]]*0.01)*(Tablo1[[#This Row],[Su]]*100)</f>
        <v>0</v>
      </c>
      <c r="P615" s="53">
        <f>Tablo1[[#This Row],[KALAN ESANS]]+Tablo1[[#This Row],[ALKOL Mik]]+Tablo1[[#This Row],[SU Mik]]</f>
        <v>0</v>
      </c>
    </row>
    <row r="616" spans="1:16" ht="15" customHeight="1" x14ac:dyDescent="0.2">
      <c r="A616" s="20" t="s">
        <v>694</v>
      </c>
      <c r="B616" s="37"/>
      <c r="C616" s="3">
        <v>0.2</v>
      </c>
      <c r="D616" s="3">
        <v>0.02</v>
      </c>
      <c r="E616" s="9">
        <f t="shared" si="9"/>
        <v>0.78</v>
      </c>
      <c r="F616" s="6" t="s">
        <v>25</v>
      </c>
      <c r="G616" s="6" t="s">
        <v>770</v>
      </c>
      <c r="H616" s="59" t="e">
        <f>((Tablo1[[#This Row],[Esans Fiyat]]/#REF!*Tablo1[[#This Row],[Esans]]*100)+(#REF!/1000*Tablo1[[#This Row],[Su]]*100)+(#REF!/1000*Tablo1[[#This Row],[Alkol]]*100))*(#REF!/100)+#REF!</f>
        <v>#REF!</v>
      </c>
      <c r="I616" s="6" t="s">
        <v>776</v>
      </c>
      <c r="J616" s="53" t="e">
        <f>#REF!*Tablo1[[#This Row],[Esans]]</f>
        <v>#REF!</v>
      </c>
      <c r="K616" s="53" t="e">
        <f>#REF!*Tablo1[[#This Row],[Su]]</f>
        <v>#REF!</v>
      </c>
      <c r="L616" s="53" t="e">
        <f>#REF!*Tablo1[[#This Row],[Alkol]]</f>
        <v>#REF!</v>
      </c>
      <c r="M616" s="46"/>
      <c r="N616" s="53">
        <f>(Tablo1[[#This Row],[KALAN ESANS]]/Tablo1[[#This Row],[Esans]]*0.01)*(Tablo1[[#This Row],[Alkol]]*100)</f>
        <v>0</v>
      </c>
      <c r="O616" s="53">
        <f>(Tablo1[[#This Row],[KALAN ESANS]]/Tablo1[[#This Row],[Esans]]*0.01)*(Tablo1[[#This Row],[Su]]*100)</f>
        <v>0</v>
      </c>
      <c r="P616" s="53">
        <f>Tablo1[[#This Row],[KALAN ESANS]]+Tablo1[[#This Row],[ALKOL Mik]]+Tablo1[[#This Row],[SU Mik]]</f>
        <v>0</v>
      </c>
    </row>
    <row r="617" spans="1:16" ht="15" customHeight="1" x14ac:dyDescent="0.2">
      <c r="A617" s="20" t="s">
        <v>695</v>
      </c>
      <c r="B617" s="37"/>
      <c r="C617" s="3">
        <v>0.2</v>
      </c>
      <c r="D617" s="3">
        <v>0.02</v>
      </c>
      <c r="E617" s="9">
        <f t="shared" si="9"/>
        <v>0.78</v>
      </c>
      <c r="F617" s="6" t="s">
        <v>25</v>
      </c>
      <c r="G617" s="6" t="s">
        <v>770</v>
      </c>
      <c r="H617" s="59" t="e">
        <f>((Tablo1[[#This Row],[Esans Fiyat]]/#REF!*Tablo1[[#This Row],[Esans]]*100)+(#REF!/1000*Tablo1[[#This Row],[Su]]*100)+(#REF!/1000*Tablo1[[#This Row],[Alkol]]*100))*(#REF!/100)+#REF!</f>
        <v>#REF!</v>
      </c>
      <c r="I617" s="6" t="s">
        <v>772</v>
      </c>
      <c r="J617" s="53" t="e">
        <f>#REF!*Tablo1[[#This Row],[Esans]]</f>
        <v>#REF!</v>
      </c>
      <c r="K617" s="53" t="e">
        <f>#REF!*Tablo1[[#This Row],[Su]]</f>
        <v>#REF!</v>
      </c>
      <c r="L617" s="53" t="e">
        <f>#REF!*Tablo1[[#This Row],[Alkol]]</f>
        <v>#REF!</v>
      </c>
      <c r="M617" s="46"/>
      <c r="N617" s="53">
        <f>(Tablo1[[#This Row],[KALAN ESANS]]/Tablo1[[#This Row],[Esans]]*0.01)*(Tablo1[[#This Row],[Alkol]]*100)</f>
        <v>0</v>
      </c>
      <c r="O617" s="53">
        <f>(Tablo1[[#This Row],[KALAN ESANS]]/Tablo1[[#This Row],[Esans]]*0.01)*(Tablo1[[#This Row],[Su]]*100)</f>
        <v>0</v>
      </c>
      <c r="P617" s="53">
        <f>Tablo1[[#This Row],[KALAN ESANS]]+Tablo1[[#This Row],[ALKOL Mik]]+Tablo1[[#This Row],[SU Mik]]</f>
        <v>0</v>
      </c>
    </row>
    <row r="618" spans="1:16" ht="15" customHeight="1" x14ac:dyDescent="0.2">
      <c r="A618" s="20" t="s">
        <v>693</v>
      </c>
      <c r="B618" s="37"/>
      <c r="C618" s="3">
        <v>0.22</v>
      </c>
      <c r="D618" s="3">
        <v>0.02</v>
      </c>
      <c r="E618" s="9">
        <f t="shared" si="9"/>
        <v>0.76</v>
      </c>
      <c r="F618" s="6" t="s">
        <v>25</v>
      </c>
      <c r="G618" s="6" t="s">
        <v>770</v>
      </c>
      <c r="H618" s="59" t="e">
        <f>((Tablo1[[#This Row],[Esans Fiyat]]/#REF!*Tablo1[[#This Row],[Esans]]*100)+(#REF!/1000*Tablo1[[#This Row],[Su]]*100)+(#REF!/1000*Tablo1[[#This Row],[Alkol]]*100))*(#REF!/100)+#REF!</f>
        <v>#REF!</v>
      </c>
      <c r="I618" s="6" t="s">
        <v>772</v>
      </c>
      <c r="J618" s="53" t="e">
        <f>#REF!*Tablo1[[#This Row],[Esans]]</f>
        <v>#REF!</v>
      </c>
      <c r="K618" s="53" t="e">
        <f>#REF!*Tablo1[[#This Row],[Su]]</f>
        <v>#REF!</v>
      </c>
      <c r="L618" s="53" t="e">
        <f>#REF!*Tablo1[[#This Row],[Alkol]]</f>
        <v>#REF!</v>
      </c>
      <c r="M618" s="46"/>
      <c r="N618" s="53">
        <f>(Tablo1[[#This Row],[KALAN ESANS]]/Tablo1[[#This Row],[Esans]]*0.01)*(Tablo1[[#This Row],[Alkol]]*100)</f>
        <v>0</v>
      </c>
      <c r="O618" s="53">
        <f>(Tablo1[[#This Row],[KALAN ESANS]]/Tablo1[[#This Row],[Esans]]*0.01)*(Tablo1[[#This Row],[Su]]*100)</f>
        <v>0</v>
      </c>
      <c r="P618" s="53">
        <f>Tablo1[[#This Row],[KALAN ESANS]]+Tablo1[[#This Row],[ALKOL Mik]]+Tablo1[[#This Row],[SU Mik]]</f>
        <v>0</v>
      </c>
    </row>
    <row r="619" spans="1:16" ht="15" customHeight="1" x14ac:dyDescent="0.2">
      <c r="A619" s="20" t="s">
        <v>691</v>
      </c>
      <c r="B619" s="37"/>
      <c r="C619" s="3">
        <v>0.2</v>
      </c>
      <c r="D619" s="3">
        <v>0.02</v>
      </c>
      <c r="E619" s="9">
        <f t="shared" si="9"/>
        <v>0.78</v>
      </c>
      <c r="F619" s="6" t="s">
        <v>25</v>
      </c>
      <c r="G619" s="6" t="s">
        <v>770</v>
      </c>
      <c r="H619" s="59" t="e">
        <f>((Tablo1[[#This Row],[Esans Fiyat]]/#REF!*Tablo1[[#This Row],[Esans]]*100)+(#REF!/1000*Tablo1[[#This Row],[Su]]*100)+(#REF!/1000*Tablo1[[#This Row],[Alkol]]*100))*(#REF!/100)+#REF!</f>
        <v>#REF!</v>
      </c>
      <c r="I619" s="6" t="s">
        <v>772</v>
      </c>
      <c r="J619" s="53" t="e">
        <f>#REF!*Tablo1[[#This Row],[Esans]]</f>
        <v>#REF!</v>
      </c>
      <c r="K619" s="53" t="e">
        <f>#REF!*Tablo1[[#This Row],[Su]]</f>
        <v>#REF!</v>
      </c>
      <c r="L619" s="53" t="e">
        <f>#REF!*Tablo1[[#This Row],[Alkol]]</f>
        <v>#REF!</v>
      </c>
      <c r="M619" s="46"/>
      <c r="N619" s="53">
        <f>(Tablo1[[#This Row],[KALAN ESANS]]/Tablo1[[#This Row],[Esans]]*0.01)*(Tablo1[[#This Row],[Alkol]]*100)</f>
        <v>0</v>
      </c>
      <c r="O619" s="53">
        <f>(Tablo1[[#This Row],[KALAN ESANS]]/Tablo1[[#This Row],[Esans]]*0.01)*(Tablo1[[#This Row],[Su]]*100)</f>
        <v>0</v>
      </c>
      <c r="P619" s="53">
        <f>Tablo1[[#This Row],[KALAN ESANS]]+Tablo1[[#This Row],[ALKOL Mik]]+Tablo1[[#This Row],[SU Mik]]</f>
        <v>0</v>
      </c>
    </row>
    <row r="620" spans="1:16" ht="15" customHeight="1" x14ac:dyDescent="0.2">
      <c r="A620" s="20" t="s">
        <v>692</v>
      </c>
      <c r="B620" s="37"/>
      <c r="C620" s="3">
        <v>0.2</v>
      </c>
      <c r="D620" s="3">
        <v>0.02</v>
      </c>
      <c r="E620" s="9">
        <f t="shared" si="9"/>
        <v>0.78</v>
      </c>
      <c r="F620" s="6" t="s">
        <v>25</v>
      </c>
      <c r="G620" s="6" t="s">
        <v>770</v>
      </c>
      <c r="H620" s="59" t="e">
        <f>((Tablo1[[#This Row],[Esans Fiyat]]/#REF!*Tablo1[[#This Row],[Esans]]*100)+(#REF!/1000*Tablo1[[#This Row],[Su]]*100)+(#REF!/1000*Tablo1[[#This Row],[Alkol]]*100))*(#REF!/100)+#REF!</f>
        <v>#REF!</v>
      </c>
      <c r="I620" s="6" t="s">
        <v>772</v>
      </c>
      <c r="J620" s="53" t="e">
        <f>#REF!*Tablo1[[#This Row],[Esans]]</f>
        <v>#REF!</v>
      </c>
      <c r="K620" s="53" t="e">
        <f>#REF!*Tablo1[[#This Row],[Su]]</f>
        <v>#REF!</v>
      </c>
      <c r="L620" s="53" t="e">
        <f>#REF!*Tablo1[[#This Row],[Alkol]]</f>
        <v>#REF!</v>
      </c>
      <c r="M620" s="46"/>
      <c r="N620" s="53">
        <f>(Tablo1[[#This Row],[KALAN ESANS]]/Tablo1[[#This Row],[Esans]]*0.01)*(Tablo1[[#This Row],[Alkol]]*100)</f>
        <v>0</v>
      </c>
      <c r="O620" s="53">
        <f>(Tablo1[[#This Row],[KALAN ESANS]]/Tablo1[[#This Row],[Esans]]*0.01)*(Tablo1[[#This Row],[Su]]*100)</f>
        <v>0</v>
      </c>
      <c r="P620" s="53">
        <f>Tablo1[[#This Row],[KALAN ESANS]]+Tablo1[[#This Row],[ALKOL Mik]]+Tablo1[[#This Row],[SU Mik]]</f>
        <v>0</v>
      </c>
    </row>
    <row r="621" spans="1:16" ht="15" customHeight="1" x14ac:dyDescent="0.2">
      <c r="A621" s="20" t="s">
        <v>686</v>
      </c>
      <c r="B621" s="37"/>
      <c r="C621" s="3">
        <v>0.2</v>
      </c>
      <c r="D621" s="3">
        <v>0</v>
      </c>
      <c r="E621" s="9">
        <f t="shared" si="9"/>
        <v>0.8</v>
      </c>
      <c r="F621" s="6" t="s">
        <v>25</v>
      </c>
      <c r="G621" s="6" t="s">
        <v>770</v>
      </c>
      <c r="H621" s="59" t="e">
        <f>((Tablo1[[#This Row],[Esans Fiyat]]/#REF!*Tablo1[[#This Row],[Esans]]*100)+(#REF!/1000*Tablo1[[#This Row],[Su]]*100)+(#REF!/1000*Tablo1[[#This Row],[Alkol]]*100))*(#REF!/100)+#REF!</f>
        <v>#REF!</v>
      </c>
      <c r="I621" s="6" t="s">
        <v>776</v>
      </c>
      <c r="J621" s="53" t="e">
        <f>#REF!*Tablo1[[#This Row],[Esans]]</f>
        <v>#REF!</v>
      </c>
      <c r="K621" s="53" t="e">
        <f>#REF!*Tablo1[[#This Row],[Su]]</f>
        <v>#REF!</v>
      </c>
      <c r="L621" s="53" t="e">
        <f>#REF!*Tablo1[[#This Row],[Alkol]]</f>
        <v>#REF!</v>
      </c>
      <c r="M621" s="46"/>
      <c r="N621" s="53">
        <f>(Tablo1[[#This Row],[KALAN ESANS]]/Tablo1[[#This Row],[Esans]]*0.01)*(Tablo1[[#This Row],[Alkol]]*100)</f>
        <v>0</v>
      </c>
      <c r="O621" s="53">
        <f>(Tablo1[[#This Row],[KALAN ESANS]]/Tablo1[[#This Row],[Esans]]*0.01)*(Tablo1[[#This Row],[Su]]*100)</f>
        <v>0</v>
      </c>
      <c r="P621" s="53">
        <f>Tablo1[[#This Row],[KALAN ESANS]]+Tablo1[[#This Row],[ALKOL Mik]]+Tablo1[[#This Row],[SU Mik]]</f>
        <v>0</v>
      </c>
    </row>
    <row r="622" spans="1:16" ht="15" customHeight="1" x14ac:dyDescent="0.2">
      <c r="A622" s="20" t="s">
        <v>687</v>
      </c>
      <c r="B622" s="37"/>
      <c r="C622" s="3">
        <v>0.2</v>
      </c>
      <c r="D622" s="3">
        <v>0.02</v>
      </c>
      <c r="E622" s="9">
        <f t="shared" si="9"/>
        <v>0.78</v>
      </c>
      <c r="F622" s="6" t="s">
        <v>25</v>
      </c>
      <c r="G622" s="6" t="s">
        <v>770</v>
      </c>
      <c r="H622" s="59" t="e">
        <f>((Tablo1[[#This Row],[Esans Fiyat]]/#REF!*Tablo1[[#This Row],[Esans]]*100)+(#REF!/1000*Tablo1[[#This Row],[Su]]*100)+(#REF!/1000*Tablo1[[#This Row],[Alkol]]*100))*(#REF!/100)+#REF!</f>
        <v>#REF!</v>
      </c>
      <c r="I622" s="6" t="s">
        <v>776</v>
      </c>
      <c r="J622" s="53" t="e">
        <f>#REF!*Tablo1[[#This Row],[Esans]]</f>
        <v>#REF!</v>
      </c>
      <c r="K622" s="53" t="e">
        <f>#REF!*Tablo1[[#This Row],[Su]]</f>
        <v>#REF!</v>
      </c>
      <c r="L622" s="53" t="e">
        <f>#REF!*Tablo1[[#This Row],[Alkol]]</f>
        <v>#REF!</v>
      </c>
      <c r="M622" s="46"/>
      <c r="N622" s="53">
        <f>(Tablo1[[#This Row],[KALAN ESANS]]/Tablo1[[#This Row],[Esans]]*0.01)*(Tablo1[[#This Row],[Alkol]]*100)</f>
        <v>0</v>
      </c>
      <c r="O622" s="53">
        <f>(Tablo1[[#This Row],[KALAN ESANS]]/Tablo1[[#This Row],[Esans]]*0.01)*(Tablo1[[#This Row],[Su]]*100)</f>
        <v>0</v>
      </c>
      <c r="P622" s="53">
        <f>Tablo1[[#This Row],[KALAN ESANS]]+Tablo1[[#This Row],[ALKOL Mik]]+Tablo1[[#This Row],[SU Mik]]</f>
        <v>0</v>
      </c>
    </row>
    <row r="623" spans="1:16" ht="15" customHeight="1" x14ac:dyDescent="0.2">
      <c r="A623" s="20" t="s">
        <v>683</v>
      </c>
      <c r="B623" s="37"/>
      <c r="C623" s="3">
        <v>0.17</v>
      </c>
      <c r="D623" s="3">
        <v>0.02</v>
      </c>
      <c r="E623" s="9">
        <f t="shared" si="9"/>
        <v>0.80999999999999994</v>
      </c>
      <c r="F623" s="6" t="s">
        <v>25</v>
      </c>
      <c r="G623" s="6" t="s">
        <v>770</v>
      </c>
      <c r="H623" s="59" t="e">
        <f>((Tablo1[[#This Row],[Esans Fiyat]]/#REF!*Tablo1[[#This Row],[Esans]]*100)+(#REF!/1000*Tablo1[[#This Row],[Su]]*100)+(#REF!/1000*Tablo1[[#This Row],[Alkol]]*100))*(#REF!/100)+#REF!</f>
        <v>#REF!</v>
      </c>
      <c r="I623" s="6" t="s">
        <v>772</v>
      </c>
      <c r="J623" s="53" t="e">
        <f>#REF!*Tablo1[[#This Row],[Esans]]</f>
        <v>#REF!</v>
      </c>
      <c r="K623" s="53" t="e">
        <f>#REF!*Tablo1[[#This Row],[Su]]</f>
        <v>#REF!</v>
      </c>
      <c r="L623" s="53" t="e">
        <f>#REF!*Tablo1[[#This Row],[Alkol]]</f>
        <v>#REF!</v>
      </c>
      <c r="M623" s="46"/>
      <c r="N623" s="53">
        <f>(Tablo1[[#This Row],[KALAN ESANS]]/Tablo1[[#This Row],[Esans]]*0.01)*(Tablo1[[#This Row],[Alkol]]*100)</f>
        <v>0</v>
      </c>
      <c r="O623" s="53">
        <f>(Tablo1[[#This Row],[KALAN ESANS]]/Tablo1[[#This Row],[Esans]]*0.01)*(Tablo1[[#This Row],[Su]]*100)</f>
        <v>0</v>
      </c>
      <c r="P623" s="53">
        <f>Tablo1[[#This Row],[KALAN ESANS]]+Tablo1[[#This Row],[ALKOL Mik]]+Tablo1[[#This Row],[SU Mik]]</f>
        <v>0</v>
      </c>
    </row>
    <row r="624" spans="1:16" ht="15" customHeight="1" x14ac:dyDescent="0.2">
      <c r="A624" s="20" t="s">
        <v>689</v>
      </c>
      <c r="B624" s="37"/>
      <c r="C624" s="3">
        <v>0.18</v>
      </c>
      <c r="D624" s="3">
        <v>0.02</v>
      </c>
      <c r="E624" s="9">
        <f t="shared" si="9"/>
        <v>0.8</v>
      </c>
      <c r="F624" s="6" t="s">
        <v>25</v>
      </c>
      <c r="G624" s="6" t="s">
        <v>770</v>
      </c>
      <c r="H624" s="59" t="e">
        <f>((Tablo1[[#This Row],[Esans Fiyat]]/#REF!*Tablo1[[#This Row],[Esans]]*100)+(#REF!/1000*Tablo1[[#This Row],[Su]]*100)+(#REF!/1000*Tablo1[[#This Row],[Alkol]]*100))*(#REF!/100)+#REF!</f>
        <v>#REF!</v>
      </c>
      <c r="I624" s="6" t="s">
        <v>772</v>
      </c>
      <c r="J624" s="53" t="e">
        <f>#REF!*Tablo1[[#This Row],[Esans]]</f>
        <v>#REF!</v>
      </c>
      <c r="K624" s="53" t="e">
        <f>#REF!*Tablo1[[#This Row],[Su]]</f>
        <v>#REF!</v>
      </c>
      <c r="L624" s="53" t="e">
        <f>#REF!*Tablo1[[#This Row],[Alkol]]</f>
        <v>#REF!</v>
      </c>
      <c r="M624" s="46"/>
      <c r="N624" s="53">
        <f>(Tablo1[[#This Row],[KALAN ESANS]]/Tablo1[[#This Row],[Esans]]*0.01)*(Tablo1[[#This Row],[Alkol]]*100)</f>
        <v>0</v>
      </c>
      <c r="O624" s="53">
        <f>(Tablo1[[#This Row],[KALAN ESANS]]/Tablo1[[#This Row],[Esans]]*0.01)*(Tablo1[[#This Row],[Su]]*100)</f>
        <v>0</v>
      </c>
      <c r="P624" s="53">
        <f>Tablo1[[#This Row],[KALAN ESANS]]+Tablo1[[#This Row],[ALKOL Mik]]+Tablo1[[#This Row],[SU Mik]]</f>
        <v>0</v>
      </c>
    </row>
    <row r="625" spans="1:16" ht="15" customHeight="1" x14ac:dyDescent="0.2">
      <c r="A625" s="20" t="s">
        <v>684</v>
      </c>
      <c r="B625" s="37"/>
      <c r="C625" s="3">
        <v>0.2</v>
      </c>
      <c r="D625" s="3">
        <v>0.02</v>
      </c>
      <c r="E625" s="9">
        <f t="shared" si="9"/>
        <v>0.78</v>
      </c>
      <c r="F625" s="6" t="s">
        <v>25</v>
      </c>
      <c r="G625" s="6" t="s">
        <v>770</v>
      </c>
      <c r="H625" s="59" t="e">
        <f>((Tablo1[[#This Row],[Esans Fiyat]]/#REF!*Tablo1[[#This Row],[Esans]]*100)+(#REF!/1000*Tablo1[[#This Row],[Su]]*100)+(#REF!/1000*Tablo1[[#This Row],[Alkol]]*100))*(#REF!/100)+#REF!</f>
        <v>#REF!</v>
      </c>
      <c r="I625" s="6" t="s">
        <v>776</v>
      </c>
      <c r="J625" s="53" t="e">
        <f>#REF!*Tablo1[[#This Row],[Esans]]</f>
        <v>#REF!</v>
      </c>
      <c r="K625" s="53" t="e">
        <f>#REF!*Tablo1[[#This Row],[Su]]</f>
        <v>#REF!</v>
      </c>
      <c r="L625" s="53" t="e">
        <f>#REF!*Tablo1[[#This Row],[Alkol]]</f>
        <v>#REF!</v>
      </c>
      <c r="M625" s="46"/>
      <c r="N625" s="53">
        <f>(Tablo1[[#This Row],[KALAN ESANS]]/Tablo1[[#This Row],[Esans]]*0.01)*(Tablo1[[#This Row],[Alkol]]*100)</f>
        <v>0</v>
      </c>
      <c r="O625" s="53">
        <f>(Tablo1[[#This Row],[KALAN ESANS]]/Tablo1[[#This Row],[Esans]]*0.01)*(Tablo1[[#This Row],[Su]]*100)</f>
        <v>0</v>
      </c>
      <c r="P625" s="53">
        <f>Tablo1[[#This Row],[KALAN ESANS]]+Tablo1[[#This Row],[ALKOL Mik]]+Tablo1[[#This Row],[SU Mik]]</f>
        <v>0</v>
      </c>
    </row>
    <row r="626" spans="1:16" ht="15" customHeight="1" x14ac:dyDescent="0.2">
      <c r="A626" s="20" t="s">
        <v>688</v>
      </c>
      <c r="B626" s="37"/>
      <c r="C626" s="3">
        <v>0.2</v>
      </c>
      <c r="D626" s="3">
        <v>0.02</v>
      </c>
      <c r="E626" s="9">
        <f t="shared" si="9"/>
        <v>0.78</v>
      </c>
      <c r="F626" s="6" t="s">
        <v>25</v>
      </c>
      <c r="G626" s="6" t="s">
        <v>770</v>
      </c>
      <c r="H626" s="59" t="e">
        <f>((Tablo1[[#This Row],[Esans Fiyat]]/#REF!*Tablo1[[#This Row],[Esans]]*100)+(#REF!/1000*Tablo1[[#This Row],[Su]]*100)+(#REF!/1000*Tablo1[[#This Row],[Alkol]]*100))*(#REF!/100)+#REF!</f>
        <v>#REF!</v>
      </c>
      <c r="I626" s="6" t="s">
        <v>776</v>
      </c>
      <c r="J626" s="53" t="e">
        <f>#REF!*Tablo1[[#This Row],[Esans]]</f>
        <v>#REF!</v>
      </c>
      <c r="K626" s="53" t="e">
        <f>#REF!*Tablo1[[#This Row],[Su]]</f>
        <v>#REF!</v>
      </c>
      <c r="L626" s="53" t="e">
        <f>#REF!*Tablo1[[#This Row],[Alkol]]</f>
        <v>#REF!</v>
      </c>
      <c r="M626" s="46"/>
      <c r="N626" s="53">
        <f>(Tablo1[[#This Row],[KALAN ESANS]]/Tablo1[[#This Row],[Esans]]*0.01)*(Tablo1[[#This Row],[Alkol]]*100)</f>
        <v>0</v>
      </c>
      <c r="O626" s="53">
        <f>(Tablo1[[#This Row],[KALAN ESANS]]/Tablo1[[#This Row],[Esans]]*0.01)*(Tablo1[[#This Row],[Su]]*100)</f>
        <v>0</v>
      </c>
      <c r="P626" s="53">
        <f>Tablo1[[#This Row],[KALAN ESANS]]+Tablo1[[#This Row],[ALKOL Mik]]+Tablo1[[#This Row],[SU Mik]]</f>
        <v>0</v>
      </c>
    </row>
    <row r="627" spans="1:16" ht="15" customHeight="1" x14ac:dyDescent="0.2">
      <c r="A627" s="20" t="s">
        <v>685</v>
      </c>
      <c r="B627" s="37"/>
      <c r="C627" s="3">
        <v>0.2</v>
      </c>
      <c r="D627" s="3">
        <v>0.02</v>
      </c>
      <c r="E627" s="9">
        <f t="shared" si="9"/>
        <v>0.78</v>
      </c>
      <c r="F627" s="6" t="s">
        <v>25</v>
      </c>
      <c r="G627" s="6" t="s">
        <v>770</v>
      </c>
      <c r="H627" s="59" t="e">
        <f>((Tablo1[[#This Row],[Esans Fiyat]]/#REF!*Tablo1[[#This Row],[Esans]]*100)+(#REF!/1000*Tablo1[[#This Row],[Su]]*100)+(#REF!/1000*Tablo1[[#This Row],[Alkol]]*100))*(#REF!/100)+#REF!</f>
        <v>#REF!</v>
      </c>
      <c r="I627" s="6" t="s">
        <v>776</v>
      </c>
      <c r="J627" s="53" t="e">
        <f>#REF!*Tablo1[[#This Row],[Esans]]</f>
        <v>#REF!</v>
      </c>
      <c r="K627" s="53" t="e">
        <f>#REF!*Tablo1[[#This Row],[Su]]</f>
        <v>#REF!</v>
      </c>
      <c r="L627" s="53" t="e">
        <f>#REF!*Tablo1[[#This Row],[Alkol]]</f>
        <v>#REF!</v>
      </c>
      <c r="M627" s="46"/>
      <c r="N627" s="53">
        <f>(Tablo1[[#This Row],[KALAN ESANS]]/Tablo1[[#This Row],[Esans]]*0.01)*(Tablo1[[#This Row],[Alkol]]*100)</f>
        <v>0</v>
      </c>
      <c r="O627" s="53">
        <f>(Tablo1[[#This Row],[KALAN ESANS]]/Tablo1[[#This Row],[Esans]]*0.01)*(Tablo1[[#This Row],[Su]]*100)</f>
        <v>0</v>
      </c>
      <c r="P627" s="53">
        <f>Tablo1[[#This Row],[KALAN ESANS]]+Tablo1[[#This Row],[ALKOL Mik]]+Tablo1[[#This Row],[SU Mik]]</f>
        <v>0</v>
      </c>
    </row>
    <row r="628" spans="1:16" ht="15" customHeight="1" x14ac:dyDescent="0.2">
      <c r="A628" s="20" t="s">
        <v>682</v>
      </c>
      <c r="B628" s="37"/>
      <c r="C628" s="3">
        <v>0.16</v>
      </c>
      <c r="D628" s="3">
        <v>0</v>
      </c>
      <c r="E628" s="9">
        <f t="shared" si="9"/>
        <v>0.84</v>
      </c>
      <c r="F628" s="6" t="s">
        <v>25</v>
      </c>
      <c r="G628" s="6" t="s">
        <v>770</v>
      </c>
      <c r="H628" s="59" t="e">
        <f>((Tablo1[[#This Row],[Esans Fiyat]]/#REF!*Tablo1[[#This Row],[Esans]]*100)+(#REF!/1000*Tablo1[[#This Row],[Su]]*100)+(#REF!/1000*Tablo1[[#This Row],[Alkol]]*100))*(#REF!/100)+#REF!</f>
        <v>#REF!</v>
      </c>
      <c r="I628" s="6" t="s">
        <v>772</v>
      </c>
      <c r="J628" s="53" t="e">
        <f>#REF!*Tablo1[[#This Row],[Esans]]</f>
        <v>#REF!</v>
      </c>
      <c r="K628" s="53" t="e">
        <f>#REF!*Tablo1[[#This Row],[Su]]</f>
        <v>#REF!</v>
      </c>
      <c r="L628" s="53" t="e">
        <f>#REF!*Tablo1[[#This Row],[Alkol]]</f>
        <v>#REF!</v>
      </c>
      <c r="M628" s="46"/>
      <c r="N628" s="53">
        <f>(Tablo1[[#This Row],[KALAN ESANS]]/Tablo1[[#This Row],[Esans]]*0.01)*(Tablo1[[#This Row],[Alkol]]*100)</f>
        <v>0</v>
      </c>
      <c r="O628" s="53">
        <f>(Tablo1[[#This Row],[KALAN ESANS]]/Tablo1[[#This Row],[Esans]]*0.01)*(Tablo1[[#This Row],[Su]]*100)</f>
        <v>0</v>
      </c>
      <c r="P628" s="53">
        <f>Tablo1[[#This Row],[KALAN ESANS]]+Tablo1[[#This Row],[ALKOL Mik]]+Tablo1[[#This Row],[SU Mik]]</f>
        <v>0</v>
      </c>
    </row>
    <row r="629" spans="1:16" ht="15" customHeight="1" x14ac:dyDescent="0.2">
      <c r="A629" s="20" t="s">
        <v>679</v>
      </c>
      <c r="B629" s="37"/>
      <c r="C629" s="3">
        <v>0.2</v>
      </c>
      <c r="D629" s="3">
        <v>0</v>
      </c>
      <c r="E629" s="9">
        <f t="shared" si="9"/>
        <v>0.8</v>
      </c>
      <c r="F629" s="6" t="s">
        <v>25</v>
      </c>
      <c r="G629" s="6" t="s">
        <v>770</v>
      </c>
      <c r="H629" s="59" t="e">
        <f>((Tablo1[[#This Row],[Esans Fiyat]]/#REF!*Tablo1[[#This Row],[Esans]]*100)+(#REF!/1000*Tablo1[[#This Row],[Su]]*100)+(#REF!/1000*Tablo1[[#This Row],[Alkol]]*100))*(#REF!/100)+#REF!</f>
        <v>#REF!</v>
      </c>
      <c r="I629" s="6" t="s">
        <v>772</v>
      </c>
      <c r="J629" s="53" t="e">
        <f>#REF!*Tablo1[[#This Row],[Esans]]</f>
        <v>#REF!</v>
      </c>
      <c r="K629" s="53" t="e">
        <f>#REF!*Tablo1[[#This Row],[Su]]</f>
        <v>#REF!</v>
      </c>
      <c r="L629" s="53" t="e">
        <f>#REF!*Tablo1[[#This Row],[Alkol]]</f>
        <v>#REF!</v>
      </c>
      <c r="M629" s="46"/>
      <c r="N629" s="53">
        <f>(Tablo1[[#This Row],[KALAN ESANS]]/Tablo1[[#This Row],[Esans]]*0.01)*(Tablo1[[#This Row],[Alkol]]*100)</f>
        <v>0</v>
      </c>
      <c r="O629" s="53">
        <f>(Tablo1[[#This Row],[KALAN ESANS]]/Tablo1[[#This Row],[Esans]]*0.01)*(Tablo1[[#This Row],[Su]]*100)</f>
        <v>0</v>
      </c>
      <c r="P629" s="53">
        <f>Tablo1[[#This Row],[KALAN ESANS]]+Tablo1[[#This Row],[ALKOL Mik]]+Tablo1[[#This Row],[SU Mik]]</f>
        <v>0</v>
      </c>
    </row>
    <row r="630" spans="1:16" ht="15" customHeight="1" x14ac:dyDescent="0.2">
      <c r="A630" s="20" t="s">
        <v>677</v>
      </c>
      <c r="B630" s="37"/>
      <c r="C630" s="3">
        <v>0.2</v>
      </c>
      <c r="D630" s="3">
        <v>0.02</v>
      </c>
      <c r="E630" s="9">
        <f t="shared" si="9"/>
        <v>0.78</v>
      </c>
      <c r="F630" s="6" t="s">
        <v>25</v>
      </c>
      <c r="G630" s="6" t="s">
        <v>770</v>
      </c>
      <c r="H630" s="59" t="e">
        <f>((Tablo1[[#This Row],[Esans Fiyat]]/#REF!*Tablo1[[#This Row],[Esans]]*100)+(#REF!/1000*Tablo1[[#This Row],[Su]]*100)+(#REF!/1000*Tablo1[[#This Row],[Alkol]]*100))*(#REF!/100)+#REF!</f>
        <v>#REF!</v>
      </c>
      <c r="I630" s="6" t="s">
        <v>776</v>
      </c>
      <c r="J630" s="53" t="e">
        <f>#REF!*Tablo1[[#This Row],[Esans]]</f>
        <v>#REF!</v>
      </c>
      <c r="K630" s="53" t="e">
        <f>#REF!*Tablo1[[#This Row],[Su]]</f>
        <v>#REF!</v>
      </c>
      <c r="L630" s="53" t="e">
        <f>#REF!*Tablo1[[#This Row],[Alkol]]</f>
        <v>#REF!</v>
      </c>
      <c r="M630" s="46"/>
      <c r="N630" s="53">
        <f>(Tablo1[[#This Row],[KALAN ESANS]]/Tablo1[[#This Row],[Esans]]*0.01)*(Tablo1[[#This Row],[Alkol]]*100)</f>
        <v>0</v>
      </c>
      <c r="O630" s="53">
        <f>(Tablo1[[#This Row],[KALAN ESANS]]/Tablo1[[#This Row],[Esans]]*0.01)*(Tablo1[[#This Row],[Su]]*100)</f>
        <v>0</v>
      </c>
      <c r="P630" s="53">
        <f>Tablo1[[#This Row],[KALAN ESANS]]+Tablo1[[#This Row],[ALKOL Mik]]+Tablo1[[#This Row],[SU Mik]]</f>
        <v>0</v>
      </c>
    </row>
    <row r="631" spans="1:16" ht="15" customHeight="1" x14ac:dyDescent="0.2">
      <c r="A631" s="20" t="s">
        <v>681</v>
      </c>
      <c r="B631" s="37"/>
      <c r="C631" s="3">
        <v>0.2</v>
      </c>
      <c r="D631" s="3">
        <v>0</v>
      </c>
      <c r="E631" s="9">
        <f t="shared" si="9"/>
        <v>0.8</v>
      </c>
      <c r="F631" s="6" t="s">
        <v>25</v>
      </c>
      <c r="G631" s="6" t="s">
        <v>770</v>
      </c>
      <c r="H631" s="59" t="e">
        <f>((Tablo1[[#This Row],[Esans Fiyat]]/#REF!*Tablo1[[#This Row],[Esans]]*100)+(#REF!/1000*Tablo1[[#This Row],[Su]]*100)+(#REF!/1000*Tablo1[[#This Row],[Alkol]]*100))*(#REF!/100)+#REF!</f>
        <v>#REF!</v>
      </c>
      <c r="I631" s="6" t="s">
        <v>776</v>
      </c>
      <c r="J631" s="53" t="e">
        <f>#REF!*Tablo1[[#This Row],[Esans]]</f>
        <v>#REF!</v>
      </c>
      <c r="K631" s="53" t="e">
        <f>#REF!*Tablo1[[#This Row],[Su]]</f>
        <v>#REF!</v>
      </c>
      <c r="L631" s="53" t="e">
        <f>#REF!*Tablo1[[#This Row],[Alkol]]</f>
        <v>#REF!</v>
      </c>
      <c r="M631" s="46"/>
      <c r="N631" s="53">
        <f>(Tablo1[[#This Row],[KALAN ESANS]]/Tablo1[[#This Row],[Esans]]*0.01)*(Tablo1[[#This Row],[Alkol]]*100)</f>
        <v>0</v>
      </c>
      <c r="O631" s="53">
        <f>(Tablo1[[#This Row],[KALAN ESANS]]/Tablo1[[#This Row],[Esans]]*0.01)*(Tablo1[[#This Row],[Su]]*100)</f>
        <v>0</v>
      </c>
      <c r="P631" s="53">
        <f>Tablo1[[#This Row],[KALAN ESANS]]+Tablo1[[#This Row],[ALKOL Mik]]+Tablo1[[#This Row],[SU Mik]]</f>
        <v>0</v>
      </c>
    </row>
    <row r="632" spans="1:16" ht="15" customHeight="1" x14ac:dyDescent="0.2">
      <c r="A632" s="20" t="s">
        <v>678</v>
      </c>
      <c r="B632" s="37"/>
      <c r="C632" s="3">
        <v>0.2</v>
      </c>
      <c r="D632" s="3">
        <v>0.02</v>
      </c>
      <c r="E632" s="9">
        <f t="shared" si="9"/>
        <v>0.78</v>
      </c>
      <c r="F632" s="6" t="s">
        <v>25</v>
      </c>
      <c r="G632" s="6" t="s">
        <v>770</v>
      </c>
      <c r="H632" s="59" t="e">
        <f>((Tablo1[[#This Row],[Esans Fiyat]]/#REF!*Tablo1[[#This Row],[Esans]]*100)+(#REF!/1000*Tablo1[[#This Row],[Su]]*100)+(#REF!/1000*Tablo1[[#This Row],[Alkol]]*100))*(#REF!/100)+#REF!</f>
        <v>#REF!</v>
      </c>
      <c r="I632" s="6" t="s">
        <v>776</v>
      </c>
      <c r="J632" s="53" t="e">
        <f>#REF!*Tablo1[[#This Row],[Esans]]</f>
        <v>#REF!</v>
      </c>
      <c r="K632" s="53" t="e">
        <f>#REF!*Tablo1[[#This Row],[Su]]</f>
        <v>#REF!</v>
      </c>
      <c r="L632" s="53" t="e">
        <f>#REF!*Tablo1[[#This Row],[Alkol]]</f>
        <v>#REF!</v>
      </c>
      <c r="M632" s="46"/>
      <c r="N632" s="53">
        <f>(Tablo1[[#This Row],[KALAN ESANS]]/Tablo1[[#This Row],[Esans]]*0.01)*(Tablo1[[#This Row],[Alkol]]*100)</f>
        <v>0</v>
      </c>
      <c r="O632" s="53">
        <f>(Tablo1[[#This Row],[KALAN ESANS]]/Tablo1[[#This Row],[Esans]]*0.01)*(Tablo1[[#This Row],[Su]]*100)</f>
        <v>0</v>
      </c>
      <c r="P632" s="53">
        <f>Tablo1[[#This Row],[KALAN ESANS]]+Tablo1[[#This Row],[ALKOL Mik]]+Tablo1[[#This Row],[SU Mik]]</f>
        <v>0</v>
      </c>
    </row>
    <row r="633" spans="1:16" ht="15" customHeight="1" x14ac:dyDescent="0.2">
      <c r="A633" s="20" t="s">
        <v>675</v>
      </c>
      <c r="B633" s="37"/>
      <c r="C633" s="3">
        <v>0.2</v>
      </c>
      <c r="D633" s="3">
        <v>0</v>
      </c>
      <c r="E633" s="9">
        <f t="shared" si="9"/>
        <v>0.8</v>
      </c>
      <c r="F633" s="6" t="s">
        <v>25</v>
      </c>
      <c r="G633" s="6" t="s">
        <v>770</v>
      </c>
      <c r="H633" s="59" t="e">
        <f>((Tablo1[[#This Row],[Esans Fiyat]]/#REF!*Tablo1[[#This Row],[Esans]]*100)+(#REF!/1000*Tablo1[[#This Row],[Su]]*100)+(#REF!/1000*Tablo1[[#This Row],[Alkol]]*100))*(#REF!/100)+#REF!</f>
        <v>#REF!</v>
      </c>
      <c r="I633" s="6" t="s">
        <v>776</v>
      </c>
      <c r="J633" s="53" t="e">
        <f>#REF!*Tablo1[[#This Row],[Esans]]</f>
        <v>#REF!</v>
      </c>
      <c r="K633" s="53" t="e">
        <f>#REF!*Tablo1[[#This Row],[Su]]</f>
        <v>#REF!</v>
      </c>
      <c r="L633" s="53" t="e">
        <f>#REF!*Tablo1[[#This Row],[Alkol]]</f>
        <v>#REF!</v>
      </c>
      <c r="M633" s="46"/>
      <c r="N633" s="53">
        <f>(Tablo1[[#This Row],[KALAN ESANS]]/Tablo1[[#This Row],[Esans]]*0.01)*(Tablo1[[#This Row],[Alkol]]*100)</f>
        <v>0</v>
      </c>
      <c r="O633" s="53">
        <f>(Tablo1[[#This Row],[KALAN ESANS]]/Tablo1[[#This Row],[Esans]]*0.01)*(Tablo1[[#This Row],[Su]]*100)</f>
        <v>0</v>
      </c>
      <c r="P633" s="53">
        <f>Tablo1[[#This Row],[KALAN ESANS]]+Tablo1[[#This Row],[ALKOL Mik]]+Tablo1[[#This Row],[SU Mik]]</f>
        <v>0</v>
      </c>
    </row>
    <row r="634" spans="1:16" ht="15" customHeight="1" x14ac:dyDescent="0.2">
      <c r="A634" s="20" t="s">
        <v>670</v>
      </c>
      <c r="B634" s="37"/>
      <c r="C634" s="3">
        <v>0.2</v>
      </c>
      <c r="D634" s="3">
        <v>0</v>
      </c>
      <c r="E634" s="9">
        <f t="shared" si="9"/>
        <v>0.8</v>
      </c>
      <c r="F634" s="6" t="s">
        <v>25</v>
      </c>
      <c r="G634" s="6" t="s">
        <v>770</v>
      </c>
      <c r="H634" s="59" t="e">
        <f>((Tablo1[[#This Row],[Esans Fiyat]]/#REF!*Tablo1[[#This Row],[Esans]]*100)+(#REF!/1000*Tablo1[[#This Row],[Su]]*100)+(#REF!/1000*Tablo1[[#This Row],[Alkol]]*100))*(#REF!/100)+#REF!</f>
        <v>#REF!</v>
      </c>
      <c r="I634" s="6" t="s">
        <v>776</v>
      </c>
      <c r="J634" s="53" t="e">
        <f>#REF!*Tablo1[[#This Row],[Esans]]</f>
        <v>#REF!</v>
      </c>
      <c r="K634" s="53" t="e">
        <f>#REF!*Tablo1[[#This Row],[Su]]</f>
        <v>#REF!</v>
      </c>
      <c r="L634" s="53" t="e">
        <f>#REF!*Tablo1[[#This Row],[Alkol]]</f>
        <v>#REF!</v>
      </c>
      <c r="M634" s="46"/>
      <c r="N634" s="53">
        <f>(Tablo1[[#This Row],[KALAN ESANS]]/Tablo1[[#This Row],[Esans]]*0.01)*(Tablo1[[#This Row],[Alkol]]*100)</f>
        <v>0</v>
      </c>
      <c r="O634" s="53">
        <f>(Tablo1[[#This Row],[KALAN ESANS]]/Tablo1[[#This Row],[Esans]]*0.01)*(Tablo1[[#This Row],[Su]]*100)</f>
        <v>0</v>
      </c>
      <c r="P634" s="53">
        <f>Tablo1[[#This Row],[KALAN ESANS]]+Tablo1[[#This Row],[ALKOL Mik]]+Tablo1[[#This Row],[SU Mik]]</f>
        <v>0</v>
      </c>
    </row>
    <row r="635" spans="1:16" ht="15" customHeight="1" x14ac:dyDescent="0.2">
      <c r="A635" s="20" t="s">
        <v>674</v>
      </c>
      <c r="B635" s="37"/>
      <c r="C635" s="3">
        <v>0.2</v>
      </c>
      <c r="D635" s="3">
        <v>0</v>
      </c>
      <c r="E635" s="9">
        <f t="shared" si="9"/>
        <v>0.8</v>
      </c>
      <c r="F635" s="6" t="s">
        <v>25</v>
      </c>
      <c r="G635" s="6" t="s">
        <v>770</v>
      </c>
      <c r="H635" s="59" t="e">
        <f>((Tablo1[[#This Row],[Esans Fiyat]]/#REF!*Tablo1[[#This Row],[Esans]]*100)+(#REF!/1000*Tablo1[[#This Row],[Su]]*100)+(#REF!/1000*Tablo1[[#This Row],[Alkol]]*100))*(#REF!/100)+#REF!</f>
        <v>#REF!</v>
      </c>
      <c r="I635" s="6" t="s">
        <v>776</v>
      </c>
      <c r="J635" s="53" t="e">
        <f>#REF!*Tablo1[[#This Row],[Esans]]</f>
        <v>#REF!</v>
      </c>
      <c r="K635" s="53" t="e">
        <f>#REF!*Tablo1[[#This Row],[Su]]</f>
        <v>#REF!</v>
      </c>
      <c r="L635" s="53" t="e">
        <f>#REF!*Tablo1[[#This Row],[Alkol]]</f>
        <v>#REF!</v>
      </c>
      <c r="M635" s="46"/>
      <c r="N635" s="53">
        <f>(Tablo1[[#This Row],[KALAN ESANS]]/Tablo1[[#This Row],[Esans]]*0.01)*(Tablo1[[#This Row],[Alkol]]*100)</f>
        <v>0</v>
      </c>
      <c r="O635" s="53">
        <f>(Tablo1[[#This Row],[KALAN ESANS]]/Tablo1[[#This Row],[Esans]]*0.01)*(Tablo1[[#This Row],[Su]]*100)</f>
        <v>0</v>
      </c>
      <c r="P635" s="53">
        <f>Tablo1[[#This Row],[KALAN ESANS]]+Tablo1[[#This Row],[ALKOL Mik]]+Tablo1[[#This Row],[SU Mik]]</f>
        <v>0</v>
      </c>
    </row>
    <row r="636" spans="1:16" ht="15" customHeight="1" x14ac:dyDescent="0.2">
      <c r="A636" s="20" t="s">
        <v>673</v>
      </c>
      <c r="B636" s="37"/>
      <c r="C636" s="3">
        <v>0.2</v>
      </c>
      <c r="D636" s="3">
        <v>0</v>
      </c>
      <c r="E636" s="9">
        <f t="shared" si="9"/>
        <v>0.8</v>
      </c>
      <c r="F636" s="6" t="s">
        <v>25</v>
      </c>
      <c r="G636" s="6" t="s">
        <v>770</v>
      </c>
      <c r="H636" s="59" t="e">
        <f>((Tablo1[[#This Row],[Esans Fiyat]]/#REF!*Tablo1[[#This Row],[Esans]]*100)+(#REF!/1000*Tablo1[[#This Row],[Su]]*100)+(#REF!/1000*Tablo1[[#This Row],[Alkol]]*100))*(#REF!/100)+#REF!</f>
        <v>#REF!</v>
      </c>
      <c r="I636" s="6" t="s">
        <v>776</v>
      </c>
      <c r="J636" s="53" t="e">
        <f>#REF!*Tablo1[[#This Row],[Esans]]</f>
        <v>#REF!</v>
      </c>
      <c r="K636" s="53" t="e">
        <f>#REF!*Tablo1[[#This Row],[Su]]</f>
        <v>#REF!</v>
      </c>
      <c r="L636" s="53" t="e">
        <f>#REF!*Tablo1[[#This Row],[Alkol]]</f>
        <v>#REF!</v>
      </c>
      <c r="M636" s="46"/>
      <c r="N636" s="53">
        <f>(Tablo1[[#This Row],[KALAN ESANS]]/Tablo1[[#This Row],[Esans]]*0.01)*(Tablo1[[#This Row],[Alkol]]*100)</f>
        <v>0</v>
      </c>
      <c r="O636" s="53">
        <f>(Tablo1[[#This Row],[KALAN ESANS]]/Tablo1[[#This Row],[Esans]]*0.01)*(Tablo1[[#This Row],[Su]]*100)</f>
        <v>0</v>
      </c>
      <c r="P636" s="53">
        <f>Tablo1[[#This Row],[KALAN ESANS]]+Tablo1[[#This Row],[ALKOL Mik]]+Tablo1[[#This Row],[SU Mik]]</f>
        <v>0</v>
      </c>
    </row>
    <row r="637" spans="1:16" ht="15" customHeight="1" x14ac:dyDescent="0.2">
      <c r="A637" s="20" t="s">
        <v>676</v>
      </c>
      <c r="B637" s="37"/>
      <c r="C637" s="3">
        <v>0.2</v>
      </c>
      <c r="D637" s="3">
        <v>0.02</v>
      </c>
      <c r="E637" s="9">
        <f t="shared" si="9"/>
        <v>0.78</v>
      </c>
      <c r="F637" s="6" t="s">
        <v>25</v>
      </c>
      <c r="G637" s="6" t="s">
        <v>770</v>
      </c>
      <c r="H637" s="59" t="e">
        <f>((Tablo1[[#This Row],[Esans Fiyat]]/#REF!*Tablo1[[#This Row],[Esans]]*100)+(#REF!/1000*Tablo1[[#This Row],[Su]]*100)+(#REF!/1000*Tablo1[[#This Row],[Alkol]]*100))*(#REF!/100)+#REF!</f>
        <v>#REF!</v>
      </c>
      <c r="I637" s="6" t="s">
        <v>776</v>
      </c>
      <c r="J637" s="53" t="e">
        <f>#REF!*Tablo1[[#This Row],[Esans]]</f>
        <v>#REF!</v>
      </c>
      <c r="K637" s="53" t="e">
        <f>#REF!*Tablo1[[#This Row],[Su]]</f>
        <v>#REF!</v>
      </c>
      <c r="L637" s="53" t="e">
        <f>#REF!*Tablo1[[#This Row],[Alkol]]</f>
        <v>#REF!</v>
      </c>
      <c r="M637" s="46"/>
      <c r="N637" s="53">
        <f>(Tablo1[[#This Row],[KALAN ESANS]]/Tablo1[[#This Row],[Esans]]*0.01)*(Tablo1[[#This Row],[Alkol]]*100)</f>
        <v>0</v>
      </c>
      <c r="O637" s="53">
        <f>(Tablo1[[#This Row],[KALAN ESANS]]/Tablo1[[#This Row],[Esans]]*0.01)*(Tablo1[[#This Row],[Su]]*100)</f>
        <v>0</v>
      </c>
      <c r="P637" s="53">
        <f>Tablo1[[#This Row],[KALAN ESANS]]+Tablo1[[#This Row],[ALKOL Mik]]+Tablo1[[#This Row],[SU Mik]]</f>
        <v>0</v>
      </c>
    </row>
    <row r="638" spans="1:16" ht="15" customHeight="1" x14ac:dyDescent="0.2">
      <c r="A638" s="20" t="s">
        <v>668</v>
      </c>
      <c r="B638" s="37"/>
      <c r="C638" s="3">
        <v>0.2</v>
      </c>
      <c r="D638" s="3">
        <v>0.02</v>
      </c>
      <c r="E638" s="9">
        <f t="shared" si="9"/>
        <v>0.78</v>
      </c>
      <c r="F638" s="6" t="s">
        <v>25</v>
      </c>
      <c r="G638" s="6" t="s">
        <v>770</v>
      </c>
      <c r="H638" s="59" t="e">
        <f>((Tablo1[[#This Row],[Esans Fiyat]]/#REF!*Tablo1[[#This Row],[Esans]]*100)+(#REF!/1000*Tablo1[[#This Row],[Su]]*100)+(#REF!/1000*Tablo1[[#This Row],[Alkol]]*100))*(#REF!/100)+#REF!</f>
        <v>#REF!</v>
      </c>
      <c r="I638" s="6" t="s">
        <v>776</v>
      </c>
      <c r="J638" s="53" t="e">
        <f>#REF!*Tablo1[[#This Row],[Esans]]</f>
        <v>#REF!</v>
      </c>
      <c r="K638" s="53" t="e">
        <f>#REF!*Tablo1[[#This Row],[Su]]</f>
        <v>#REF!</v>
      </c>
      <c r="L638" s="53" t="e">
        <f>#REF!*Tablo1[[#This Row],[Alkol]]</f>
        <v>#REF!</v>
      </c>
      <c r="M638" s="46"/>
      <c r="N638" s="53">
        <f>(Tablo1[[#This Row],[KALAN ESANS]]/Tablo1[[#This Row],[Esans]]*0.01)*(Tablo1[[#This Row],[Alkol]]*100)</f>
        <v>0</v>
      </c>
      <c r="O638" s="53">
        <f>(Tablo1[[#This Row],[KALAN ESANS]]/Tablo1[[#This Row],[Esans]]*0.01)*(Tablo1[[#This Row],[Su]]*100)</f>
        <v>0</v>
      </c>
      <c r="P638" s="53">
        <f>Tablo1[[#This Row],[KALAN ESANS]]+Tablo1[[#This Row],[ALKOL Mik]]+Tablo1[[#This Row],[SU Mik]]</f>
        <v>0</v>
      </c>
    </row>
    <row r="639" spans="1:16" ht="15" customHeight="1" x14ac:dyDescent="0.2">
      <c r="A639" s="20" t="s">
        <v>669</v>
      </c>
      <c r="B639" s="37"/>
      <c r="C639" s="3">
        <v>0.2</v>
      </c>
      <c r="D639" s="3">
        <v>0.02</v>
      </c>
      <c r="E639" s="9">
        <f t="shared" si="9"/>
        <v>0.78</v>
      </c>
      <c r="F639" s="6" t="s">
        <v>25</v>
      </c>
      <c r="G639" s="6" t="s">
        <v>770</v>
      </c>
      <c r="H639" s="59" t="e">
        <f>((Tablo1[[#This Row],[Esans Fiyat]]/#REF!*Tablo1[[#This Row],[Esans]]*100)+(#REF!/1000*Tablo1[[#This Row],[Su]]*100)+(#REF!/1000*Tablo1[[#This Row],[Alkol]]*100))*(#REF!/100)+#REF!</f>
        <v>#REF!</v>
      </c>
      <c r="I639" s="6" t="s">
        <v>776</v>
      </c>
      <c r="J639" s="53" t="e">
        <f>#REF!*Tablo1[[#This Row],[Esans]]</f>
        <v>#REF!</v>
      </c>
      <c r="K639" s="53" t="e">
        <f>#REF!*Tablo1[[#This Row],[Su]]</f>
        <v>#REF!</v>
      </c>
      <c r="L639" s="53" t="e">
        <f>#REF!*Tablo1[[#This Row],[Alkol]]</f>
        <v>#REF!</v>
      </c>
      <c r="M639" s="46"/>
      <c r="N639" s="53">
        <f>(Tablo1[[#This Row],[KALAN ESANS]]/Tablo1[[#This Row],[Esans]]*0.01)*(Tablo1[[#This Row],[Alkol]]*100)</f>
        <v>0</v>
      </c>
      <c r="O639" s="53">
        <f>(Tablo1[[#This Row],[KALAN ESANS]]/Tablo1[[#This Row],[Esans]]*0.01)*(Tablo1[[#This Row],[Su]]*100)</f>
        <v>0</v>
      </c>
      <c r="P639" s="53">
        <f>Tablo1[[#This Row],[KALAN ESANS]]+Tablo1[[#This Row],[ALKOL Mik]]+Tablo1[[#This Row],[SU Mik]]</f>
        <v>0</v>
      </c>
    </row>
    <row r="640" spans="1:16" ht="15" customHeight="1" x14ac:dyDescent="0.2">
      <c r="A640" s="20" t="s">
        <v>680</v>
      </c>
      <c r="B640" s="37"/>
      <c r="C640" s="3">
        <v>0.2</v>
      </c>
      <c r="D640" s="3">
        <v>0.02</v>
      </c>
      <c r="E640" s="9">
        <f t="shared" si="9"/>
        <v>0.78</v>
      </c>
      <c r="F640" s="6" t="s">
        <v>25</v>
      </c>
      <c r="G640" s="6" t="s">
        <v>770</v>
      </c>
      <c r="H640" s="59" t="e">
        <f>((Tablo1[[#This Row],[Esans Fiyat]]/#REF!*Tablo1[[#This Row],[Esans]]*100)+(#REF!/1000*Tablo1[[#This Row],[Su]]*100)+(#REF!/1000*Tablo1[[#This Row],[Alkol]]*100))*(#REF!/100)+#REF!</f>
        <v>#REF!</v>
      </c>
      <c r="I640" s="6" t="s">
        <v>776</v>
      </c>
      <c r="J640" s="53" t="e">
        <f>#REF!*Tablo1[[#This Row],[Esans]]</f>
        <v>#REF!</v>
      </c>
      <c r="K640" s="53" t="e">
        <f>#REF!*Tablo1[[#This Row],[Su]]</f>
        <v>#REF!</v>
      </c>
      <c r="L640" s="53" t="e">
        <f>#REF!*Tablo1[[#This Row],[Alkol]]</f>
        <v>#REF!</v>
      </c>
      <c r="M640" s="46"/>
      <c r="N640" s="53">
        <f>(Tablo1[[#This Row],[KALAN ESANS]]/Tablo1[[#This Row],[Esans]]*0.01)*(Tablo1[[#This Row],[Alkol]]*100)</f>
        <v>0</v>
      </c>
      <c r="O640" s="53">
        <f>(Tablo1[[#This Row],[KALAN ESANS]]/Tablo1[[#This Row],[Esans]]*0.01)*(Tablo1[[#This Row],[Su]]*100)</f>
        <v>0</v>
      </c>
      <c r="P640" s="53">
        <f>Tablo1[[#This Row],[KALAN ESANS]]+Tablo1[[#This Row],[ALKOL Mik]]+Tablo1[[#This Row],[SU Mik]]</f>
        <v>0</v>
      </c>
    </row>
    <row r="641" spans="1:16" ht="15" customHeight="1" x14ac:dyDescent="0.2">
      <c r="A641" s="20" t="s">
        <v>672</v>
      </c>
      <c r="B641" s="37"/>
      <c r="C641" s="3">
        <v>0.2</v>
      </c>
      <c r="D641" s="3">
        <v>0</v>
      </c>
      <c r="E641" s="9">
        <f t="shared" si="9"/>
        <v>0.8</v>
      </c>
      <c r="F641" s="6" t="s">
        <v>25</v>
      </c>
      <c r="G641" s="6" t="s">
        <v>770</v>
      </c>
      <c r="H641" s="59" t="e">
        <f>((Tablo1[[#This Row],[Esans Fiyat]]/#REF!*Tablo1[[#This Row],[Esans]]*100)+(#REF!/1000*Tablo1[[#This Row],[Su]]*100)+(#REF!/1000*Tablo1[[#This Row],[Alkol]]*100))*(#REF!/100)+#REF!</f>
        <v>#REF!</v>
      </c>
      <c r="I641" s="6" t="s">
        <v>776</v>
      </c>
      <c r="J641" s="53" t="e">
        <f>#REF!*Tablo1[[#This Row],[Esans]]</f>
        <v>#REF!</v>
      </c>
      <c r="K641" s="53" t="e">
        <f>#REF!*Tablo1[[#This Row],[Su]]</f>
        <v>#REF!</v>
      </c>
      <c r="L641" s="53" t="e">
        <f>#REF!*Tablo1[[#This Row],[Alkol]]</f>
        <v>#REF!</v>
      </c>
      <c r="M641" s="46"/>
      <c r="N641" s="53">
        <f>(Tablo1[[#This Row],[KALAN ESANS]]/Tablo1[[#This Row],[Esans]]*0.01)*(Tablo1[[#This Row],[Alkol]]*100)</f>
        <v>0</v>
      </c>
      <c r="O641" s="53">
        <f>(Tablo1[[#This Row],[KALAN ESANS]]/Tablo1[[#This Row],[Esans]]*0.01)*(Tablo1[[#This Row],[Su]]*100)</f>
        <v>0</v>
      </c>
      <c r="P641" s="53">
        <f>Tablo1[[#This Row],[KALAN ESANS]]+Tablo1[[#This Row],[ALKOL Mik]]+Tablo1[[#This Row],[SU Mik]]</f>
        <v>0</v>
      </c>
    </row>
    <row r="642" spans="1:16" ht="15" customHeight="1" x14ac:dyDescent="0.2">
      <c r="A642" s="20" t="s">
        <v>667</v>
      </c>
      <c r="B642" s="37"/>
      <c r="C642" s="3">
        <v>0.2</v>
      </c>
      <c r="D642" s="3">
        <v>0</v>
      </c>
      <c r="E642" s="9">
        <f t="shared" si="9"/>
        <v>0.8</v>
      </c>
      <c r="F642" s="6" t="s">
        <v>25</v>
      </c>
      <c r="G642" s="6" t="s">
        <v>770</v>
      </c>
      <c r="H642" s="59" t="e">
        <f>((Tablo1[[#This Row],[Esans Fiyat]]/#REF!*Tablo1[[#This Row],[Esans]]*100)+(#REF!/1000*Tablo1[[#This Row],[Su]]*100)+(#REF!/1000*Tablo1[[#This Row],[Alkol]]*100))*(#REF!/100)+#REF!</f>
        <v>#REF!</v>
      </c>
      <c r="I642" s="6" t="s">
        <v>776</v>
      </c>
      <c r="J642" s="53" t="e">
        <f>#REF!*Tablo1[[#This Row],[Esans]]</f>
        <v>#REF!</v>
      </c>
      <c r="K642" s="53" t="e">
        <f>#REF!*Tablo1[[#This Row],[Su]]</f>
        <v>#REF!</v>
      </c>
      <c r="L642" s="53" t="e">
        <f>#REF!*Tablo1[[#This Row],[Alkol]]</f>
        <v>#REF!</v>
      </c>
      <c r="M642" s="46"/>
      <c r="N642" s="53">
        <f>(Tablo1[[#This Row],[KALAN ESANS]]/Tablo1[[#This Row],[Esans]]*0.01)*(Tablo1[[#This Row],[Alkol]]*100)</f>
        <v>0</v>
      </c>
      <c r="O642" s="53">
        <f>(Tablo1[[#This Row],[KALAN ESANS]]/Tablo1[[#This Row],[Esans]]*0.01)*(Tablo1[[#This Row],[Su]]*100)</f>
        <v>0</v>
      </c>
      <c r="P642" s="53">
        <f>Tablo1[[#This Row],[KALAN ESANS]]+Tablo1[[#This Row],[ALKOL Mik]]+Tablo1[[#This Row],[SU Mik]]</f>
        <v>0</v>
      </c>
    </row>
    <row r="643" spans="1:16" ht="15" customHeight="1" x14ac:dyDescent="0.2">
      <c r="A643" s="20" t="s">
        <v>671</v>
      </c>
      <c r="B643" s="37"/>
      <c r="C643" s="3">
        <v>0.2</v>
      </c>
      <c r="D643" s="3">
        <v>0</v>
      </c>
      <c r="E643" s="9">
        <f t="shared" si="9"/>
        <v>0.8</v>
      </c>
      <c r="F643" s="6" t="s">
        <v>25</v>
      </c>
      <c r="G643" s="6" t="s">
        <v>770</v>
      </c>
      <c r="H643" s="59" t="e">
        <f>((Tablo1[[#This Row],[Esans Fiyat]]/#REF!*Tablo1[[#This Row],[Esans]]*100)+(#REF!/1000*Tablo1[[#This Row],[Su]]*100)+(#REF!/1000*Tablo1[[#This Row],[Alkol]]*100))*(#REF!/100)+#REF!</f>
        <v>#REF!</v>
      </c>
      <c r="I643" s="6" t="s">
        <v>776</v>
      </c>
      <c r="J643" s="53" t="e">
        <f>#REF!*Tablo1[[#This Row],[Esans]]</f>
        <v>#REF!</v>
      </c>
      <c r="K643" s="53" t="e">
        <f>#REF!*Tablo1[[#This Row],[Su]]</f>
        <v>#REF!</v>
      </c>
      <c r="L643" s="53" t="e">
        <f>#REF!*Tablo1[[#This Row],[Alkol]]</f>
        <v>#REF!</v>
      </c>
      <c r="M643" s="46"/>
      <c r="N643" s="53">
        <f>(Tablo1[[#This Row],[KALAN ESANS]]/Tablo1[[#This Row],[Esans]]*0.01)*(Tablo1[[#This Row],[Alkol]]*100)</f>
        <v>0</v>
      </c>
      <c r="O643" s="53">
        <f>(Tablo1[[#This Row],[KALAN ESANS]]/Tablo1[[#This Row],[Esans]]*0.01)*(Tablo1[[#This Row],[Su]]*100)</f>
        <v>0</v>
      </c>
      <c r="P643" s="53">
        <f>Tablo1[[#This Row],[KALAN ESANS]]+Tablo1[[#This Row],[ALKOL Mik]]+Tablo1[[#This Row],[SU Mik]]</f>
        <v>0</v>
      </c>
    </row>
    <row r="644" spans="1:16" ht="15" customHeight="1" x14ac:dyDescent="0.2">
      <c r="A644" s="20" t="s">
        <v>664</v>
      </c>
      <c r="B644" s="37"/>
      <c r="C644" s="3">
        <v>0.2</v>
      </c>
      <c r="D644" s="3">
        <v>0</v>
      </c>
      <c r="E644" s="9">
        <f t="shared" ref="E644:E707" si="10">1-D644-C644</f>
        <v>0.8</v>
      </c>
      <c r="F644" s="6" t="s">
        <v>25</v>
      </c>
      <c r="G644" s="6" t="s">
        <v>770</v>
      </c>
      <c r="H644" s="59" t="e">
        <f>((Tablo1[[#This Row],[Esans Fiyat]]/#REF!*Tablo1[[#This Row],[Esans]]*100)+(#REF!/1000*Tablo1[[#This Row],[Su]]*100)+(#REF!/1000*Tablo1[[#This Row],[Alkol]]*100))*(#REF!/100)+#REF!</f>
        <v>#REF!</v>
      </c>
      <c r="I644" s="6" t="s">
        <v>776</v>
      </c>
      <c r="J644" s="53" t="e">
        <f>#REF!*Tablo1[[#This Row],[Esans]]</f>
        <v>#REF!</v>
      </c>
      <c r="K644" s="53" t="e">
        <f>#REF!*Tablo1[[#This Row],[Su]]</f>
        <v>#REF!</v>
      </c>
      <c r="L644" s="53" t="e">
        <f>#REF!*Tablo1[[#This Row],[Alkol]]</f>
        <v>#REF!</v>
      </c>
      <c r="M644" s="46"/>
      <c r="N644" s="53">
        <f>(Tablo1[[#This Row],[KALAN ESANS]]/Tablo1[[#This Row],[Esans]]*0.01)*(Tablo1[[#This Row],[Alkol]]*100)</f>
        <v>0</v>
      </c>
      <c r="O644" s="53">
        <f>(Tablo1[[#This Row],[KALAN ESANS]]/Tablo1[[#This Row],[Esans]]*0.01)*(Tablo1[[#This Row],[Su]]*100)</f>
        <v>0</v>
      </c>
      <c r="P644" s="53">
        <f>Tablo1[[#This Row],[KALAN ESANS]]+Tablo1[[#This Row],[ALKOL Mik]]+Tablo1[[#This Row],[SU Mik]]</f>
        <v>0</v>
      </c>
    </row>
    <row r="645" spans="1:16" ht="15" customHeight="1" x14ac:dyDescent="0.2">
      <c r="A645" s="20" t="s">
        <v>665</v>
      </c>
      <c r="B645" s="37"/>
      <c r="C645" s="3">
        <v>0.2</v>
      </c>
      <c r="D645" s="3">
        <v>0.02</v>
      </c>
      <c r="E645" s="9">
        <f t="shared" si="10"/>
        <v>0.78</v>
      </c>
      <c r="F645" s="6" t="s">
        <v>25</v>
      </c>
      <c r="G645" s="6" t="s">
        <v>770</v>
      </c>
      <c r="H645" s="59" t="e">
        <f>((Tablo1[[#This Row],[Esans Fiyat]]/#REF!*Tablo1[[#This Row],[Esans]]*100)+(#REF!/1000*Tablo1[[#This Row],[Su]]*100)+(#REF!/1000*Tablo1[[#This Row],[Alkol]]*100))*(#REF!/100)+#REF!</f>
        <v>#REF!</v>
      </c>
      <c r="I645" s="6" t="s">
        <v>776</v>
      </c>
      <c r="J645" s="53" t="e">
        <f>#REF!*Tablo1[[#This Row],[Esans]]</f>
        <v>#REF!</v>
      </c>
      <c r="K645" s="53" t="e">
        <f>#REF!*Tablo1[[#This Row],[Su]]</f>
        <v>#REF!</v>
      </c>
      <c r="L645" s="53" t="e">
        <f>#REF!*Tablo1[[#This Row],[Alkol]]</f>
        <v>#REF!</v>
      </c>
      <c r="M645" s="46"/>
      <c r="N645" s="53">
        <f>(Tablo1[[#This Row],[KALAN ESANS]]/Tablo1[[#This Row],[Esans]]*0.01)*(Tablo1[[#This Row],[Alkol]]*100)</f>
        <v>0</v>
      </c>
      <c r="O645" s="53">
        <f>(Tablo1[[#This Row],[KALAN ESANS]]/Tablo1[[#This Row],[Esans]]*0.01)*(Tablo1[[#This Row],[Su]]*100)</f>
        <v>0</v>
      </c>
      <c r="P645" s="53">
        <f>Tablo1[[#This Row],[KALAN ESANS]]+Tablo1[[#This Row],[ALKOL Mik]]+Tablo1[[#This Row],[SU Mik]]</f>
        <v>0</v>
      </c>
    </row>
    <row r="646" spans="1:16" ht="15" customHeight="1" x14ac:dyDescent="0.2">
      <c r="A646" s="20" t="s">
        <v>666</v>
      </c>
      <c r="B646" s="37"/>
      <c r="C646" s="3">
        <v>0.2</v>
      </c>
      <c r="D646" s="3">
        <v>0.02</v>
      </c>
      <c r="E646" s="9">
        <f t="shared" si="10"/>
        <v>0.78</v>
      </c>
      <c r="F646" s="6" t="s">
        <v>25</v>
      </c>
      <c r="G646" s="6" t="s">
        <v>770</v>
      </c>
      <c r="H646" s="59" t="e">
        <f>((Tablo1[[#This Row],[Esans Fiyat]]/#REF!*Tablo1[[#This Row],[Esans]]*100)+(#REF!/1000*Tablo1[[#This Row],[Su]]*100)+(#REF!/1000*Tablo1[[#This Row],[Alkol]]*100))*(#REF!/100)+#REF!</f>
        <v>#REF!</v>
      </c>
      <c r="I646" s="6" t="s">
        <v>776</v>
      </c>
      <c r="J646" s="53" t="e">
        <f>#REF!*Tablo1[[#This Row],[Esans]]</f>
        <v>#REF!</v>
      </c>
      <c r="K646" s="53" t="e">
        <f>#REF!*Tablo1[[#This Row],[Su]]</f>
        <v>#REF!</v>
      </c>
      <c r="L646" s="53" t="e">
        <f>#REF!*Tablo1[[#This Row],[Alkol]]</f>
        <v>#REF!</v>
      </c>
      <c r="M646" s="46"/>
      <c r="N646" s="53">
        <f>(Tablo1[[#This Row],[KALAN ESANS]]/Tablo1[[#This Row],[Esans]]*0.01)*(Tablo1[[#This Row],[Alkol]]*100)</f>
        <v>0</v>
      </c>
      <c r="O646" s="53">
        <f>(Tablo1[[#This Row],[KALAN ESANS]]/Tablo1[[#This Row],[Esans]]*0.01)*(Tablo1[[#This Row],[Su]]*100)</f>
        <v>0</v>
      </c>
      <c r="P646" s="53">
        <f>Tablo1[[#This Row],[KALAN ESANS]]+Tablo1[[#This Row],[ALKOL Mik]]+Tablo1[[#This Row],[SU Mik]]</f>
        <v>0</v>
      </c>
    </row>
    <row r="647" spans="1:16" ht="15" customHeight="1" x14ac:dyDescent="0.2">
      <c r="A647" s="20" t="s">
        <v>642</v>
      </c>
      <c r="B647" s="37"/>
      <c r="C647" s="3">
        <v>0.2</v>
      </c>
      <c r="D647" s="3">
        <v>0.02</v>
      </c>
      <c r="E647" s="9">
        <f t="shared" si="10"/>
        <v>0.78</v>
      </c>
      <c r="F647" s="6" t="s">
        <v>25</v>
      </c>
      <c r="G647" s="6" t="s">
        <v>770</v>
      </c>
      <c r="H647" s="59" t="e">
        <f>((Tablo1[[#This Row],[Esans Fiyat]]/#REF!*Tablo1[[#This Row],[Esans]]*100)+(#REF!/1000*Tablo1[[#This Row],[Su]]*100)+(#REF!/1000*Tablo1[[#This Row],[Alkol]]*100))*(#REF!/100)+#REF!</f>
        <v>#REF!</v>
      </c>
      <c r="I647" s="6" t="s">
        <v>776</v>
      </c>
      <c r="J647" s="53" t="e">
        <f>#REF!*Tablo1[[#This Row],[Esans]]</f>
        <v>#REF!</v>
      </c>
      <c r="K647" s="53" t="e">
        <f>#REF!*Tablo1[[#This Row],[Su]]</f>
        <v>#REF!</v>
      </c>
      <c r="L647" s="53" t="e">
        <f>#REF!*Tablo1[[#This Row],[Alkol]]</f>
        <v>#REF!</v>
      </c>
      <c r="M647" s="46"/>
      <c r="N647" s="53">
        <f>(Tablo1[[#This Row],[KALAN ESANS]]/Tablo1[[#This Row],[Esans]]*0.01)*(Tablo1[[#This Row],[Alkol]]*100)</f>
        <v>0</v>
      </c>
      <c r="O647" s="53">
        <f>(Tablo1[[#This Row],[KALAN ESANS]]/Tablo1[[#This Row],[Esans]]*0.01)*(Tablo1[[#This Row],[Su]]*100)</f>
        <v>0</v>
      </c>
      <c r="P647" s="53">
        <f>Tablo1[[#This Row],[KALAN ESANS]]+Tablo1[[#This Row],[ALKOL Mik]]+Tablo1[[#This Row],[SU Mik]]</f>
        <v>0</v>
      </c>
    </row>
    <row r="648" spans="1:16" ht="15" customHeight="1" x14ac:dyDescent="0.2">
      <c r="A648" s="20" t="s">
        <v>644</v>
      </c>
      <c r="B648" s="37"/>
      <c r="C648" s="3">
        <v>0.2</v>
      </c>
      <c r="D648" s="3">
        <v>0.02</v>
      </c>
      <c r="E648" s="9">
        <f t="shared" si="10"/>
        <v>0.78</v>
      </c>
      <c r="F648" s="6" t="s">
        <v>25</v>
      </c>
      <c r="G648" s="6" t="s">
        <v>770</v>
      </c>
      <c r="H648" s="59" t="e">
        <f>((Tablo1[[#This Row],[Esans Fiyat]]/#REF!*Tablo1[[#This Row],[Esans]]*100)+(#REF!/1000*Tablo1[[#This Row],[Su]]*100)+(#REF!/1000*Tablo1[[#This Row],[Alkol]]*100))*(#REF!/100)+#REF!</f>
        <v>#REF!</v>
      </c>
      <c r="I648" s="6" t="s">
        <v>776</v>
      </c>
      <c r="J648" s="53" t="e">
        <f>#REF!*Tablo1[[#This Row],[Esans]]</f>
        <v>#REF!</v>
      </c>
      <c r="K648" s="53" t="e">
        <f>#REF!*Tablo1[[#This Row],[Su]]</f>
        <v>#REF!</v>
      </c>
      <c r="L648" s="53" t="e">
        <f>#REF!*Tablo1[[#This Row],[Alkol]]</f>
        <v>#REF!</v>
      </c>
      <c r="M648" s="46"/>
      <c r="N648" s="53">
        <f>(Tablo1[[#This Row],[KALAN ESANS]]/Tablo1[[#This Row],[Esans]]*0.01)*(Tablo1[[#This Row],[Alkol]]*100)</f>
        <v>0</v>
      </c>
      <c r="O648" s="53">
        <f>(Tablo1[[#This Row],[KALAN ESANS]]/Tablo1[[#This Row],[Esans]]*0.01)*(Tablo1[[#This Row],[Su]]*100)</f>
        <v>0</v>
      </c>
      <c r="P648" s="53">
        <f>Tablo1[[#This Row],[KALAN ESANS]]+Tablo1[[#This Row],[ALKOL Mik]]+Tablo1[[#This Row],[SU Mik]]</f>
        <v>0</v>
      </c>
    </row>
    <row r="649" spans="1:16" ht="15" customHeight="1" x14ac:dyDescent="0.2">
      <c r="A649" s="20" t="s">
        <v>663</v>
      </c>
      <c r="B649" s="37"/>
      <c r="C649" s="3">
        <v>0.2</v>
      </c>
      <c r="D649" s="3">
        <v>0.02</v>
      </c>
      <c r="E649" s="9">
        <f t="shared" si="10"/>
        <v>0.78</v>
      </c>
      <c r="F649" s="6" t="s">
        <v>25</v>
      </c>
      <c r="G649" s="6" t="s">
        <v>770</v>
      </c>
      <c r="H649" s="59" t="e">
        <f>((Tablo1[[#This Row],[Esans Fiyat]]/#REF!*Tablo1[[#This Row],[Esans]]*100)+(#REF!/1000*Tablo1[[#This Row],[Su]]*100)+(#REF!/1000*Tablo1[[#This Row],[Alkol]]*100))*(#REF!/100)+#REF!</f>
        <v>#REF!</v>
      </c>
      <c r="I649" s="6" t="s">
        <v>776</v>
      </c>
      <c r="J649" s="53" t="e">
        <f>#REF!*Tablo1[[#This Row],[Esans]]</f>
        <v>#REF!</v>
      </c>
      <c r="K649" s="53" t="e">
        <f>#REF!*Tablo1[[#This Row],[Su]]</f>
        <v>#REF!</v>
      </c>
      <c r="L649" s="53" t="e">
        <f>#REF!*Tablo1[[#This Row],[Alkol]]</f>
        <v>#REF!</v>
      </c>
      <c r="M649" s="46"/>
      <c r="N649" s="53">
        <f>(Tablo1[[#This Row],[KALAN ESANS]]/Tablo1[[#This Row],[Esans]]*0.01)*(Tablo1[[#This Row],[Alkol]]*100)</f>
        <v>0</v>
      </c>
      <c r="O649" s="53">
        <f>(Tablo1[[#This Row],[KALAN ESANS]]/Tablo1[[#This Row],[Esans]]*0.01)*(Tablo1[[#This Row],[Su]]*100)</f>
        <v>0</v>
      </c>
      <c r="P649" s="53">
        <f>Tablo1[[#This Row],[KALAN ESANS]]+Tablo1[[#This Row],[ALKOL Mik]]+Tablo1[[#This Row],[SU Mik]]</f>
        <v>0</v>
      </c>
    </row>
    <row r="650" spans="1:16" ht="15" customHeight="1" x14ac:dyDescent="0.2">
      <c r="A650" s="20" t="s">
        <v>662</v>
      </c>
      <c r="B650" s="37"/>
      <c r="C650" s="3">
        <v>0.2</v>
      </c>
      <c r="D650" s="3">
        <v>0</v>
      </c>
      <c r="E650" s="9">
        <f t="shared" si="10"/>
        <v>0.8</v>
      </c>
      <c r="F650" s="6" t="s">
        <v>25</v>
      </c>
      <c r="G650" s="6" t="s">
        <v>770</v>
      </c>
      <c r="H650" s="59" t="e">
        <f>((Tablo1[[#This Row],[Esans Fiyat]]/#REF!*Tablo1[[#This Row],[Esans]]*100)+(#REF!/1000*Tablo1[[#This Row],[Su]]*100)+(#REF!/1000*Tablo1[[#This Row],[Alkol]]*100))*(#REF!/100)+#REF!</f>
        <v>#REF!</v>
      </c>
      <c r="I650" s="6" t="s">
        <v>776</v>
      </c>
      <c r="J650" s="53" t="e">
        <f>#REF!*Tablo1[[#This Row],[Esans]]</f>
        <v>#REF!</v>
      </c>
      <c r="K650" s="53" t="e">
        <f>#REF!*Tablo1[[#This Row],[Su]]</f>
        <v>#REF!</v>
      </c>
      <c r="L650" s="53" t="e">
        <f>#REF!*Tablo1[[#This Row],[Alkol]]</f>
        <v>#REF!</v>
      </c>
      <c r="M650" s="46"/>
      <c r="N650" s="53">
        <f>(Tablo1[[#This Row],[KALAN ESANS]]/Tablo1[[#This Row],[Esans]]*0.01)*(Tablo1[[#This Row],[Alkol]]*100)</f>
        <v>0</v>
      </c>
      <c r="O650" s="53">
        <f>(Tablo1[[#This Row],[KALAN ESANS]]/Tablo1[[#This Row],[Esans]]*0.01)*(Tablo1[[#This Row],[Su]]*100)</f>
        <v>0</v>
      </c>
      <c r="P650" s="53">
        <f>Tablo1[[#This Row],[KALAN ESANS]]+Tablo1[[#This Row],[ALKOL Mik]]+Tablo1[[#This Row],[SU Mik]]</f>
        <v>0</v>
      </c>
    </row>
    <row r="651" spans="1:16" ht="15" customHeight="1" x14ac:dyDescent="0.2">
      <c r="A651" s="20" t="s">
        <v>661</v>
      </c>
      <c r="B651" s="37"/>
      <c r="C651" s="3">
        <v>0.2</v>
      </c>
      <c r="D651" s="3">
        <v>0.02</v>
      </c>
      <c r="E651" s="9">
        <f t="shared" si="10"/>
        <v>0.78</v>
      </c>
      <c r="F651" s="6" t="s">
        <v>25</v>
      </c>
      <c r="G651" s="6" t="s">
        <v>770</v>
      </c>
      <c r="H651" s="59" t="e">
        <f>((Tablo1[[#This Row],[Esans Fiyat]]/#REF!*Tablo1[[#This Row],[Esans]]*100)+(#REF!/1000*Tablo1[[#This Row],[Su]]*100)+(#REF!/1000*Tablo1[[#This Row],[Alkol]]*100))*(#REF!/100)+#REF!</f>
        <v>#REF!</v>
      </c>
      <c r="I651" s="6" t="s">
        <v>776</v>
      </c>
      <c r="J651" s="53" t="e">
        <f>#REF!*Tablo1[[#This Row],[Esans]]</f>
        <v>#REF!</v>
      </c>
      <c r="K651" s="53" t="e">
        <f>#REF!*Tablo1[[#This Row],[Su]]</f>
        <v>#REF!</v>
      </c>
      <c r="L651" s="53" t="e">
        <f>#REF!*Tablo1[[#This Row],[Alkol]]</f>
        <v>#REF!</v>
      </c>
      <c r="M651" s="46"/>
      <c r="N651" s="53">
        <f>(Tablo1[[#This Row],[KALAN ESANS]]/Tablo1[[#This Row],[Esans]]*0.01)*(Tablo1[[#This Row],[Alkol]]*100)</f>
        <v>0</v>
      </c>
      <c r="O651" s="53">
        <f>(Tablo1[[#This Row],[KALAN ESANS]]/Tablo1[[#This Row],[Esans]]*0.01)*(Tablo1[[#This Row],[Su]]*100)</f>
        <v>0</v>
      </c>
      <c r="P651" s="53">
        <f>Tablo1[[#This Row],[KALAN ESANS]]+Tablo1[[#This Row],[ALKOL Mik]]+Tablo1[[#This Row],[SU Mik]]</f>
        <v>0</v>
      </c>
    </row>
    <row r="652" spans="1:16" ht="15" customHeight="1" x14ac:dyDescent="0.2">
      <c r="A652" s="20" t="s">
        <v>658</v>
      </c>
      <c r="B652" s="37"/>
      <c r="C652" s="3">
        <v>0.17</v>
      </c>
      <c r="D652" s="3">
        <v>0.02</v>
      </c>
      <c r="E652" s="9">
        <f t="shared" si="10"/>
        <v>0.80999999999999994</v>
      </c>
      <c r="F652" s="6" t="s">
        <v>25</v>
      </c>
      <c r="G652" s="6" t="s">
        <v>770</v>
      </c>
      <c r="H652" s="59" t="e">
        <f>((Tablo1[[#This Row],[Esans Fiyat]]/#REF!*Tablo1[[#This Row],[Esans]]*100)+(#REF!/1000*Tablo1[[#This Row],[Su]]*100)+(#REF!/1000*Tablo1[[#This Row],[Alkol]]*100))*(#REF!/100)+#REF!</f>
        <v>#REF!</v>
      </c>
      <c r="I652" s="6" t="s">
        <v>772</v>
      </c>
      <c r="J652" s="53" t="e">
        <f>#REF!*Tablo1[[#This Row],[Esans]]</f>
        <v>#REF!</v>
      </c>
      <c r="K652" s="53" t="e">
        <f>#REF!*Tablo1[[#This Row],[Su]]</f>
        <v>#REF!</v>
      </c>
      <c r="L652" s="53" t="e">
        <f>#REF!*Tablo1[[#This Row],[Alkol]]</f>
        <v>#REF!</v>
      </c>
      <c r="M652" s="46"/>
      <c r="N652" s="53">
        <f>(Tablo1[[#This Row],[KALAN ESANS]]/Tablo1[[#This Row],[Esans]]*0.01)*(Tablo1[[#This Row],[Alkol]]*100)</f>
        <v>0</v>
      </c>
      <c r="O652" s="53">
        <f>(Tablo1[[#This Row],[KALAN ESANS]]/Tablo1[[#This Row],[Esans]]*0.01)*(Tablo1[[#This Row],[Su]]*100)</f>
        <v>0</v>
      </c>
      <c r="P652" s="53">
        <f>Tablo1[[#This Row],[KALAN ESANS]]+Tablo1[[#This Row],[ALKOL Mik]]+Tablo1[[#This Row],[SU Mik]]</f>
        <v>0</v>
      </c>
    </row>
    <row r="653" spans="1:16" ht="15" customHeight="1" x14ac:dyDescent="0.2">
      <c r="A653" s="20" t="s">
        <v>656</v>
      </c>
      <c r="B653" s="37"/>
      <c r="C653" s="3">
        <v>0.2</v>
      </c>
      <c r="D653" s="3">
        <v>0</v>
      </c>
      <c r="E653" s="9">
        <f t="shared" si="10"/>
        <v>0.8</v>
      </c>
      <c r="F653" s="6" t="s">
        <v>25</v>
      </c>
      <c r="G653" s="6" t="s">
        <v>770</v>
      </c>
      <c r="H653" s="59" t="e">
        <f>((Tablo1[[#This Row],[Esans Fiyat]]/#REF!*Tablo1[[#This Row],[Esans]]*100)+(#REF!/1000*Tablo1[[#This Row],[Su]]*100)+(#REF!/1000*Tablo1[[#This Row],[Alkol]]*100))*(#REF!/100)+#REF!</f>
        <v>#REF!</v>
      </c>
      <c r="I653" s="6" t="s">
        <v>776</v>
      </c>
      <c r="J653" s="53" t="e">
        <f>#REF!*Tablo1[[#This Row],[Esans]]</f>
        <v>#REF!</v>
      </c>
      <c r="K653" s="53" t="e">
        <f>#REF!*Tablo1[[#This Row],[Su]]</f>
        <v>#REF!</v>
      </c>
      <c r="L653" s="53" t="e">
        <f>#REF!*Tablo1[[#This Row],[Alkol]]</f>
        <v>#REF!</v>
      </c>
      <c r="M653" s="46"/>
      <c r="N653" s="53">
        <f>(Tablo1[[#This Row],[KALAN ESANS]]/Tablo1[[#This Row],[Esans]]*0.01)*(Tablo1[[#This Row],[Alkol]]*100)</f>
        <v>0</v>
      </c>
      <c r="O653" s="53">
        <f>(Tablo1[[#This Row],[KALAN ESANS]]/Tablo1[[#This Row],[Esans]]*0.01)*(Tablo1[[#This Row],[Su]]*100)</f>
        <v>0</v>
      </c>
      <c r="P653" s="53">
        <f>Tablo1[[#This Row],[KALAN ESANS]]+Tablo1[[#This Row],[ALKOL Mik]]+Tablo1[[#This Row],[SU Mik]]</f>
        <v>0</v>
      </c>
    </row>
    <row r="654" spans="1:16" ht="15" customHeight="1" x14ac:dyDescent="0.2">
      <c r="A654" s="20" t="s">
        <v>653</v>
      </c>
      <c r="B654" s="37"/>
      <c r="C654" s="3">
        <v>0.2</v>
      </c>
      <c r="D654" s="3">
        <v>0.02</v>
      </c>
      <c r="E654" s="9">
        <f t="shared" si="10"/>
        <v>0.78</v>
      </c>
      <c r="F654" s="6" t="s">
        <v>25</v>
      </c>
      <c r="G654" s="6" t="s">
        <v>770</v>
      </c>
      <c r="H654" s="59" t="e">
        <f>((Tablo1[[#This Row],[Esans Fiyat]]/#REF!*Tablo1[[#This Row],[Esans]]*100)+(#REF!/1000*Tablo1[[#This Row],[Su]]*100)+(#REF!/1000*Tablo1[[#This Row],[Alkol]]*100))*(#REF!/100)+#REF!</f>
        <v>#REF!</v>
      </c>
      <c r="I654" s="6" t="s">
        <v>776</v>
      </c>
      <c r="J654" s="53" t="e">
        <f>#REF!*Tablo1[[#This Row],[Esans]]</f>
        <v>#REF!</v>
      </c>
      <c r="K654" s="53" t="e">
        <f>#REF!*Tablo1[[#This Row],[Su]]</f>
        <v>#REF!</v>
      </c>
      <c r="L654" s="53" t="e">
        <f>#REF!*Tablo1[[#This Row],[Alkol]]</f>
        <v>#REF!</v>
      </c>
      <c r="M654" s="46"/>
      <c r="N654" s="53">
        <f>(Tablo1[[#This Row],[KALAN ESANS]]/Tablo1[[#This Row],[Esans]]*0.01)*(Tablo1[[#This Row],[Alkol]]*100)</f>
        <v>0</v>
      </c>
      <c r="O654" s="53">
        <f>(Tablo1[[#This Row],[KALAN ESANS]]/Tablo1[[#This Row],[Esans]]*0.01)*(Tablo1[[#This Row],[Su]]*100)</f>
        <v>0</v>
      </c>
      <c r="P654" s="53">
        <f>Tablo1[[#This Row],[KALAN ESANS]]+Tablo1[[#This Row],[ALKOL Mik]]+Tablo1[[#This Row],[SU Mik]]</f>
        <v>0</v>
      </c>
    </row>
    <row r="655" spans="1:16" ht="15" customHeight="1" x14ac:dyDescent="0.2">
      <c r="A655" s="20" t="s">
        <v>654</v>
      </c>
      <c r="B655" s="37"/>
      <c r="C655" s="3">
        <v>0.2</v>
      </c>
      <c r="D655" s="3">
        <v>0.02</v>
      </c>
      <c r="E655" s="9">
        <f t="shared" si="10"/>
        <v>0.78</v>
      </c>
      <c r="F655" s="6" t="s">
        <v>25</v>
      </c>
      <c r="G655" s="6" t="s">
        <v>770</v>
      </c>
      <c r="H655" s="59" t="e">
        <f>((Tablo1[[#This Row],[Esans Fiyat]]/#REF!*Tablo1[[#This Row],[Esans]]*100)+(#REF!/1000*Tablo1[[#This Row],[Su]]*100)+(#REF!/1000*Tablo1[[#This Row],[Alkol]]*100))*(#REF!/100)+#REF!</f>
        <v>#REF!</v>
      </c>
      <c r="I655" s="6" t="s">
        <v>776</v>
      </c>
      <c r="J655" s="53" t="e">
        <f>#REF!*Tablo1[[#This Row],[Esans]]</f>
        <v>#REF!</v>
      </c>
      <c r="K655" s="53" t="e">
        <f>#REF!*Tablo1[[#This Row],[Su]]</f>
        <v>#REF!</v>
      </c>
      <c r="L655" s="53" t="e">
        <f>#REF!*Tablo1[[#This Row],[Alkol]]</f>
        <v>#REF!</v>
      </c>
      <c r="M655" s="46"/>
      <c r="N655" s="53">
        <f>(Tablo1[[#This Row],[KALAN ESANS]]/Tablo1[[#This Row],[Esans]]*0.01)*(Tablo1[[#This Row],[Alkol]]*100)</f>
        <v>0</v>
      </c>
      <c r="O655" s="53">
        <f>(Tablo1[[#This Row],[KALAN ESANS]]/Tablo1[[#This Row],[Esans]]*0.01)*(Tablo1[[#This Row],[Su]]*100)</f>
        <v>0</v>
      </c>
      <c r="P655" s="53">
        <f>Tablo1[[#This Row],[KALAN ESANS]]+Tablo1[[#This Row],[ALKOL Mik]]+Tablo1[[#This Row],[SU Mik]]</f>
        <v>0</v>
      </c>
    </row>
    <row r="656" spans="1:16" ht="15" customHeight="1" x14ac:dyDescent="0.2">
      <c r="A656" s="20" t="s">
        <v>652</v>
      </c>
      <c r="B656" s="37"/>
      <c r="C656" s="3">
        <v>0.2</v>
      </c>
      <c r="D656" s="3">
        <v>0.02</v>
      </c>
      <c r="E656" s="9">
        <f t="shared" si="10"/>
        <v>0.78</v>
      </c>
      <c r="F656" s="6" t="s">
        <v>25</v>
      </c>
      <c r="G656" s="6" t="s">
        <v>770</v>
      </c>
      <c r="H656" s="59" t="e">
        <f>((Tablo1[[#This Row],[Esans Fiyat]]/#REF!*Tablo1[[#This Row],[Esans]]*100)+(#REF!/1000*Tablo1[[#This Row],[Su]]*100)+(#REF!/1000*Tablo1[[#This Row],[Alkol]]*100))*(#REF!/100)+#REF!</f>
        <v>#REF!</v>
      </c>
      <c r="I656" s="6" t="s">
        <v>776</v>
      </c>
      <c r="J656" s="53" t="e">
        <f>#REF!*Tablo1[[#This Row],[Esans]]</f>
        <v>#REF!</v>
      </c>
      <c r="K656" s="53" t="e">
        <f>#REF!*Tablo1[[#This Row],[Su]]</f>
        <v>#REF!</v>
      </c>
      <c r="L656" s="53" t="e">
        <f>#REF!*Tablo1[[#This Row],[Alkol]]</f>
        <v>#REF!</v>
      </c>
      <c r="M656" s="46"/>
      <c r="N656" s="53">
        <f>(Tablo1[[#This Row],[KALAN ESANS]]/Tablo1[[#This Row],[Esans]]*0.01)*(Tablo1[[#This Row],[Alkol]]*100)</f>
        <v>0</v>
      </c>
      <c r="O656" s="53">
        <f>(Tablo1[[#This Row],[KALAN ESANS]]/Tablo1[[#This Row],[Esans]]*0.01)*(Tablo1[[#This Row],[Su]]*100)</f>
        <v>0</v>
      </c>
      <c r="P656" s="53">
        <f>Tablo1[[#This Row],[KALAN ESANS]]+Tablo1[[#This Row],[ALKOL Mik]]+Tablo1[[#This Row],[SU Mik]]</f>
        <v>0</v>
      </c>
    </row>
    <row r="657" spans="1:16" ht="15" customHeight="1" x14ac:dyDescent="0.2">
      <c r="A657" s="20" t="s">
        <v>647</v>
      </c>
      <c r="B657" s="37"/>
      <c r="C657" s="3">
        <v>0.2</v>
      </c>
      <c r="D657" s="3">
        <v>0.02</v>
      </c>
      <c r="E657" s="9">
        <f t="shared" si="10"/>
        <v>0.78</v>
      </c>
      <c r="F657" s="6" t="s">
        <v>25</v>
      </c>
      <c r="G657" s="6" t="s">
        <v>770</v>
      </c>
      <c r="H657" s="59" t="e">
        <f>((Tablo1[[#This Row],[Esans Fiyat]]/#REF!*Tablo1[[#This Row],[Esans]]*100)+(#REF!/1000*Tablo1[[#This Row],[Su]]*100)+(#REF!/1000*Tablo1[[#This Row],[Alkol]]*100))*(#REF!/100)+#REF!</f>
        <v>#REF!</v>
      </c>
      <c r="I657" s="6" t="s">
        <v>776</v>
      </c>
      <c r="J657" s="53" t="e">
        <f>#REF!*Tablo1[[#This Row],[Esans]]</f>
        <v>#REF!</v>
      </c>
      <c r="K657" s="53" t="e">
        <f>#REF!*Tablo1[[#This Row],[Su]]</f>
        <v>#REF!</v>
      </c>
      <c r="L657" s="53" t="e">
        <f>#REF!*Tablo1[[#This Row],[Alkol]]</f>
        <v>#REF!</v>
      </c>
      <c r="M657" s="46"/>
      <c r="N657" s="53">
        <f>(Tablo1[[#This Row],[KALAN ESANS]]/Tablo1[[#This Row],[Esans]]*0.01)*(Tablo1[[#This Row],[Alkol]]*100)</f>
        <v>0</v>
      </c>
      <c r="O657" s="53">
        <f>(Tablo1[[#This Row],[KALAN ESANS]]/Tablo1[[#This Row],[Esans]]*0.01)*(Tablo1[[#This Row],[Su]]*100)</f>
        <v>0</v>
      </c>
      <c r="P657" s="53">
        <f>Tablo1[[#This Row],[KALAN ESANS]]+Tablo1[[#This Row],[ALKOL Mik]]+Tablo1[[#This Row],[SU Mik]]</f>
        <v>0</v>
      </c>
    </row>
    <row r="658" spans="1:16" ht="15" customHeight="1" x14ac:dyDescent="0.2">
      <c r="A658" s="20" t="s">
        <v>651</v>
      </c>
      <c r="B658" s="37"/>
      <c r="C658" s="3">
        <v>0.2</v>
      </c>
      <c r="D658" s="3">
        <v>0</v>
      </c>
      <c r="E658" s="9">
        <f t="shared" si="10"/>
        <v>0.8</v>
      </c>
      <c r="F658" s="6" t="s">
        <v>25</v>
      </c>
      <c r="G658" s="6" t="s">
        <v>770</v>
      </c>
      <c r="H658" s="59" t="e">
        <f>((Tablo1[[#This Row],[Esans Fiyat]]/#REF!*Tablo1[[#This Row],[Esans]]*100)+(#REF!/1000*Tablo1[[#This Row],[Su]]*100)+(#REF!/1000*Tablo1[[#This Row],[Alkol]]*100))*(#REF!/100)+#REF!</f>
        <v>#REF!</v>
      </c>
      <c r="I658" s="6" t="s">
        <v>776</v>
      </c>
      <c r="J658" s="53" t="e">
        <f>#REF!*Tablo1[[#This Row],[Esans]]</f>
        <v>#REF!</v>
      </c>
      <c r="K658" s="53" t="e">
        <f>#REF!*Tablo1[[#This Row],[Su]]</f>
        <v>#REF!</v>
      </c>
      <c r="L658" s="53" t="e">
        <f>#REF!*Tablo1[[#This Row],[Alkol]]</f>
        <v>#REF!</v>
      </c>
      <c r="M658" s="46"/>
      <c r="N658" s="53">
        <f>(Tablo1[[#This Row],[KALAN ESANS]]/Tablo1[[#This Row],[Esans]]*0.01)*(Tablo1[[#This Row],[Alkol]]*100)</f>
        <v>0</v>
      </c>
      <c r="O658" s="53">
        <f>(Tablo1[[#This Row],[KALAN ESANS]]/Tablo1[[#This Row],[Esans]]*0.01)*(Tablo1[[#This Row],[Su]]*100)</f>
        <v>0</v>
      </c>
      <c r="P658" s="53">
        <f>Tablo1[[#This Row],[KALAN ESANS]]+Tablo1[[#This Row],[ALKOL Mik]]+Tablo1[[#This Row],[SU Mik]]</f>
        <v>0</v>
      </c>
    </row>
    <row r="659" spans="1:16" ht="15" customHeight="1" x14ac:dyDescent="0.2">
      <c r="A659" s="20" t="s">
        <v>655</v>
      </c>
      <c r="B659" s="37"/>
      <c r="C659" s="3">
        <v>0.22</v>
      </c>
      <c r="D659" s="3">
        <v>0.02</v>
      </c>
      <c r="E659" s="9">
        <f t="shared" si="10"/>
        <v>0.76</v>
      </c>
      <c r="F659" s="6" t="s">
        <v>25</v>
      </c>
      <c r="G659" s="6" t="s">
        <v>770</v>
      </c>
      <c r="H659" s="59" t="e">
        <f>((Tablo1[[#This Row],[Esans Fiyat]]/#REF!*Tablo1[[#This Row],[Esans]]*100)+(#REF!/1000*Tablo1[[#This Row],[Su]]*100)+(#REF!/1000*Tablo1[[#This Row],[Alkol]]*100))*(#REF!/100)+#REF!</f>
        <v>#REF!</v>
      </c>
      <c r="I659" s="6" t="s">
        <v>772</v>
      </c>
      <c r="J659" s="53" t="e">
        <f>#REF!*Tablo1[[#This Row],[Esans]]</f>
        <v>#REF!</v>
      </c>
      <c r="K659" s="53" t="e">
        <f>#REF!*Tablo1[[#This Row],[Su]]</f>
        <v>#REF!</v>
      </c>
      <c r="L659" s="53" t="e">
        <f>#REF!*Tablo1[[#This Row],[Alkol]]</f>
        <v>#REF!</v>
      </c>
      <c r="M659" s="46"/>
      <c r="N659" s="53">
        <f>(Tablo1[[#This Row],[KALAN ESANS]]/Tablo1[[#This Row],[Esans]]*0.01)*(Tablo1[[#This Row],[Alkol]]*100)</f>
        <v>0</v>
      </c>
      <c r="O659" s="53">
        <f>(Tablo1[[#This Row],[KALAN ESANS]]/Tablo1[[#This Row],[Esans]]*0.01)*(Tablo1[[#This Row],[Su]]*100)</f>
        <v>0</v>
      </c>
      <c r="P659" s="53">
        <f>Tablo1[[#This Row],[KALAN ESANS]]+Tablo1[[#This Row],[ALKOL Mik]]+Tablo1[[#This Row],[SU Mik]]</f>
        <v>0</v>
      </c>
    </row>
    <row r="660" spans="1:16" ht="15" customHeight="1" x14ac:dyDescent="0.2">
      <c r="A660" s="20" t="s">
        <v>649</v>
      </c>
      <c r="B660" s="37"/>
      <c r="C660" s="3">
        <v>0.2</v>
      </c>
      <c r="D660" s="3">
        <v>0.02</v>
      </c>
      <c r="E660" s="9">
        <f t="shared" si="10"/>
        <v>0.78</v>
      </c>
      <c r="F660" s="6" t="s">
        <v>25</v>
      </c>
      <c r="G660" s="6" t="s">
        <v>770</v>
      </c>
      <c r="H660" s="59" t="e">
        <f>((Tablo1[[#This Row],[Esans Fiyat]]/#REF!*Tablo1[[#This Row],[Esans]]*100)+(#REF!/1000*Tablo1[[#This Row],[Su]]*100)+(#REF!/1000*Tablo1[[#This Row],[Alkol]]*100))*(#REF!/100)+#REF!</f>
        <v>#REF!</v>
      </c>
      <c r="I660" s="6" t="s">
        <v>776</v>
      </c>
      <c r="J660" s="53" t="e">
        <f>#REF!*Tablo1[[#This Row],[Esans]]</f>
        <v>#REF!</v>
      </c>
      <c r="K660" s="53" t="e">
        <f>#REF!*Tablo1[[#This Row],[Su]]</f>
        <v>#REF!</v>
      </c>
      <c r="L660" s="53" t="e">
        <f>#REF!*Tablo1[[#This Row],[Alkol]]</f>
        <v>#REF!</v>
      </c>
      <c r="M660" s="46"/>
      <c r="N660" s="53">
        <f>(Tablo1[[#This Row],[KALAN ESANS]]/Tablo1[[#This Row],[Esans]]*0.01)*(Tablo1[[#This Row],[Alkol]]*100)</f>
        <v>0</v>
      </c>
      <c r="O660" s="53">
        <f>(Tablo1[[#This Row],[KALAN ESANS]]/Tablo1[[#This Row],[Esans]]*0.01)*(Tablo1[[#This Row],[Su]]*100)</f>
        <v>0</v>
      </c>
      <c r="P660" s="53">
        <f>Tablo1[[#This Row],[KALAN ESANS]]+Tablo1[[#This Row],[ALKOL Mik]]+Tablo1[[#This Row],[SU Mik]]</f>
        <v>0</v>
      </c>
    </row>
    <row r="661" spans="1:16" ht="15" customHeight="1" x14ac:dyDescent="0.2">
      <c r="A661" s="20" t="s">
        <v>646</v>
      </c>
      <c r="B661" s="37"/>
      <c r="C661" s="3">
        <v>0.2</v>
      </c>
      <c r="D661" s="3">
        <v>0.02</v>
      </c>
      <c r="E661" s="9">
        <f t="shared" si="10"/>
        <v>0.78</v>
      </c>
      <c r="F661" s="6" t="s">
        <v>25</v>
      </c>
      <c r="G661" s="6" t="s">
        <v>770</v>
      </c>
      <c r="H661" s="59" t="e">
        <f>((Tablo1[[#This Row],[Esans Fiyat]]/#REF!*Tablo1[[#This Row],[Esans]]*100)+(#REF!/1000*Tablo1[[#This Row],[Su]]*100)+(#REF!/1000*Tablo1[[#This Row],[Alkol]]*100))*(#REF!/100)+#REF!</f>
        <v>#REF!</v>
      </c>
      <c r="I661" s="6" t="s">
        <v>776</v>
      </c>
      <c r="J661" s="53" t="e">
        <f>#REF!*Tablo1[[#This Row],[Esans]]</f>
        <v>#REF!</v>
      </c>
      <c r="K661" s="53" t="e">
        <f>#REF!*Tablo1[[#This Row],[Su]]</f>
        <v>#REF!</v>
      </c>
      <c r="L661" s="53" t="e">
        <f>#REF!*Tablo1[[#This Row],[Alkol]]</f>
        <v>#REF!</v>
      </c>
      <c r="M661" s="46"/>
      <c r="N661" s="53">
        <f>(Tablo1[[#This Row],[KALAN ESANS]]/Tablo1[[#This Row],[Esans]]*0.01)*(Tablo1[[#This Row],[Alkol]]*100)</f>
        <v>0</v>
      </c>
      <c r="O661" s="53">
        <f>(Tablo1[[#This Row],[KALAN ESANS]]/Tablo1[[#This Row],[Esans]]*0.01)*(Tablo1[[#This Row],[Su]]*100)</f>
        <v>0</v>
      </c>
      <c r="P661" s="53">
        <f>Tablo1[[#This Row],[KALAN ESANS]]+Tablo1[[#This Row],[ALKOL Mik]]+Tablo1[[#This Row],[SU Mik]]</f>
        <v>0</v>
      </c>
    </row>
    <row r="662" spans="1:16" ht="15" customHeight="1" x14ac:dyDescent="0.2">
      <c r="A662" s="20" t="s">
        <v>648</v>
      </c>
      <c r="B662" s="37"/>
      <c r="C662" s="3">
        <v>0.2</v>
      </c>
      <c r="D662" s="3">
        <v>0.02</v>
      </c>
      <c r="E662" s="9">
        <f t="shared" si="10"/>
        <v>0.78</v>
      </c>
      <c r="F662" s="6" t="s">
        <v>25</v>
      </c>
      <c r="G662" s="6" t="s">
        <v>770</v>
      </c>
      <c r="H662" s="59" t="e">
        <f>((Tablo1[[#This Row],[Esans Fiyat]]/#REF!*Tablo1[[#This Row],[Esans]]*100)+(#REF!/1000*Tablo1[[#This Row],[Su]]*100)+(#REF!/1000*Tablo1[[#This Row],[Alkol]]*100))*(#REF!/100)+#REF!</f>
        <v>#REF!</v>
      </c>
      <c r="I662" s="6" t="s">
        <v>776</v>
      </c>
      <c r="J662" s="53" t="e">
        <f>#REF!*Tablo1[[#This Row],[Esans]]</f>
        <v>#REF!</v>
      </c>
      <c r="K662" s="53" t="e">
        <f>#REF!*Tablo1[[#This Row],[Su]]</f>
        <v>#REF!</v>
      </c>
      <c r="L662" s="53" t="e">
        <f>#REF!*Tablo1[[#This Row],[Alkol]]</f>
        <v>#REF!</v>
      </c>
      <c r="M662" s="46"/>
      <c r="N662" s="53">
        <f>(Tablo1[[#This Row],[KALAN ESANS]]/Tablo1[[#This Row],[Esans]]*0.01)*(Tablo1[[#This Row],[Alkol]]*100)</f>
        <v>0</v>
      </c>
      <c r="O662" s="53">
        <f>(Tablo1[[#This Row],[KALAN ESANS]]/Tablo1[[#This Row],[Esans]]*0.01)*(Tablo1[[#This Row],[Su]]*100)</f>
        <v>0</v>
      </c>
      <c r="P662" s="53">
        <f>Tablo1[[#This Row],[KALAN ESANS]]+Tablo1[[#This Row],[ALKOL Mik]]+Tablo1[[#This Row],[SU Mik]]</f>
        <v>0</v>
      </c>
    </row>
    <row r="663" spans="1:16" ht="15" customHeight="1" x14ac:dyDescent="0.2">
      <c r="A663" s="20" t="s">
        <v>645</v>
      </c>
      <c r="B663" s="37"/>
      <c r="C663" s="3">
        <v>0.2</v>
      </c>
      <c r="D663" s="3">
        <v>0.02</v>
      </c>
      <c r="E663" s="9">
        <f t="shared" si="10"/>
        <v>0.78</v>
      </c>
      <c r="F663" s="6" t="s">
        <v>25</v>
      </c>
      <c r="G663" s="6" t="s">
        <v>770</v>
      </c>
      <c r="H663" s="59" t="e">
        <f>((Tablo1[[#This Row],[Esans Fiyat]]/#REF!*Tablo1[[#This Row],[Esans]]*100)+(#REF!/1000*Tablo1[[#This Row],[Su]]*100)+(#REF!/1000*Tablo1[[#This Row],[Alkol]]*100))*(#REF!/100)+#REF!</f>
        <v>#REF!</v>
      </c>
      <c r="I663" s="6" t="s">
        <v>776</v>
      </c>
      <c r="J663" s="53" t="e">
        <f>#REF!*Tablo1[[#This Row],[Esans]]</f>
        <v>#REF!</v>
      </c>
      <c r="K663" s="53" t="e">
        <f>#REF!*Tablo1[[#This Row],[Su]]</f>
        <v>#REF!</v>
      </c>
      <c r="L663" s="53" t="e">
        <f>#REF!*Tablo1[[#This Row],[Alkol]]</f>
        <v>#REF!</v>
      </c>
      <c r="M663" s="46"/>
      <c r="N663" s="53">
        <f>(Tablo1[[#This Row],[KALAN ESANS]]/Tablo1[[#This Row],[Esans]]*0.01)*(Tablo1[[#This Row],[Alkol]]*100)</f>
        <v>0</v>
      </c>
      <c r="O663" s="53">
        <f>(Tablo1[[#This Row],[KALAN ESANS]]/Tablo1[[#This Row],[Esans]]*0.01)*(Tablo1[[#This Row],[Su]]*100)</f>
        <v>0</v>
      </c>
      <c r="P663" s="53">
        <f>Tablo1[[#This Row],[KALAN ESANS]]+Tablo1[[#This Row],[ALKOL Mik]]+Tablo1[[#This Row],[SU Mik]]</f>
        <v>0</v>
      </c>
    </row>
    <row r="664" spans="1:16" ht="15" customHeight="1" x14ac:dyDescent="0.2">
      <c r="A664" s="20" t="s">
        <v>640</v>
      </c>
      <c r="B664" s="37"/>
      <c r="C664" s="3">
        <v>0.2</v>
      </c>
      <c r="D664" s="3">
        <v>0.02</v>
      </c>
      <c r="E664" s="9">
        <f t="shared" si="10"/>
        <v>0.78</v>
      </c>
      <c r="F664" s="6" t="s">
        <v>25</v>
      </c>
      <c r="G664" s="6" t="s">
        <v>770</v>
      </c>
      <c r="H664" s="59" t="e">
        <f>((Tablo1[[#This Row],[Esans Fiyat]]/#REF!*Tablo1[[#This Row],[Esans]]*100)+(#REF!/1000*Tablo1[[#This Row],[Su]]*100)+(#REF!/1000*Tablo1[[#This Row],[Alkol]]*100))*(#REF!/100)+#REF!</f>
        <v>#REF!</v>
      </c>
      <c r="I664" s="6" t="s">
        <v>776</v>
      </c>
      <c r="J664" s="53" t="e">
        <f>#REF!*Tablo1[[#This Row],[Esans]]</f>
        <v>#REF!</v>
      </c>
      <c r="K664" s="53" t="e">
        <f>#REF!*Tablo1[[#This Row],[Su]]</f>
        <v>#REF!</v>
      </c>
      <c r="L664" s="53" t="e">
        <f>#REF!*Tablo1[[#This Row],[Alkol]]</f>
        <v>#REF!</v>
      </c>
      <c r="M664" s="46"/>
      <c r="N664" s="53">
        <f>(Tablo1[[#This Row],[KALAN ESANS]]/Tablo1[[#This Row],[Esans]]*0.01)*(Tablo1[[#This Row],[Alkol]]*100)</f>
        <v>0</v>
      </c>
      <c r="O664" s="53">
        <f>(Tablo1[[#This Row],[KALAN ESANS]]/Tablo1[[#This Row],[Esans]]*0.01)*(Tablo1[[#This Row],[Su]]*100)</f>
        <v>0</v>
      </c>
      <c r="P664" s="53">
        <f>Tablo1[[#This Row],[KALAN ESANS]]+Tablo1[[#This Row],[ALKOL Mik]]+Tablo1[[#This Row],[SU Mik]]</f>
        <v>0</v>
      </c>
    </row>
    <row r="665" spans="1:16" ht="15" customHeight="1" x14ac:dyDescent="0.2">
      <c r="A665" s="20" t="s">
        <v>657</v>
      </c>
      <c r="B665" s="37"/>
      <c r="C665" s="3">
        <v>0.2</v>
      </c>
      <c r="D665" s="3">
        <v>0.02</v>
      </c>
      <c r="E665" s="9">
        <f t="shared" si="10"/>
        <v>0.78</v>
      </c>
      <c r="F665" s="6" t="s">
        <v>25</v>
      </c>
      <c r="G665" s="6" t="s">
        <v>770</v>
      </c>
      <c r="H665" s="59" t="e">
        <f>((Tablo1[[#This Row],[Esans Fiyat]]/#REF!*Tablo1[[#This Row],[Esans]]*100)+(#REF!/1000*Tablo1[[#This Row],[Su]]*100)+(#REF!/1000*Tablo1[[#This Row],[Alkol]]*100))*(#REF!/100)+#REF!</f>
        <v>#REF!</v>
      </c>
      <c r="I665" s="6" t="s">
        <v>776</v>
      </c>
      <c r="J665" s="53" t="e">
        <f>#REF!*Tablo1[[#This Row],[Esans]]</f>
        <v>#REF!</v>
      </c>
      <c r="K665" s="53" t="e">
        <f>#REF!*Tablo1[[#This Row],[Su]]</f>
        <v>#REF!</v>
      </c>
      <c r="L665" s="53" t="e">
        <f>#REF!*Tablo1[[#This Row],[Alkol]]</f>
        <v>#REF!</v>
      </c>
      <c r="M665" s="46"/>
      <c r="N665" s="53">
        <f>(Tablo1[[#This Row],[KALAN ESANS]]/Tablo1[[#This Row],[Esans]]*0.01)*(Tablo1[[#This Row],[Alkol]]*100)</f>
        <v>0</v>
      </c>
      <c r="O665" s="53">
        <f>(Tablo1[[#This Row],[KALAN ESANS]]/Tablo1[[#This Row],[Esans]]*0.01)*(Tablo1[[#This Row],[Su]]*100)</f>
        <v>0</v>
      </c>
      <c r="P665" s="53">
        <f>Tablo1[[#This Row],[KALAN ESANS]]+Tablo1[[#This Row],[ALKOL Mik]]+Tablo1[[#This Row],[SU Mik]]</f>
        <v>0</v>
      </c>
    </row>
    <row r="666" spans="1:16" ht="15" customHeight="1" x14ac:dyDescent="0.2">
      <c r="A666" s="20" t="s">
        <v>650</v>
      </c>
      <c r="B666" s="37"/>
      <c r="C666" s="3">
        <v>0.2</v>
      </c>
      <c r="D666" s="3">
        <v>0.02</v>
      </c>
      <c r="E666" s="9">
        <f t="shared" si="10"/>
        <v>0.78</v>
      </c>
      <c r="F666" s="6" t="s">
        <v>25</v>
      </c>
      <c r="G666" s="6" t="s">
        <v>770</v>
      </c>
      <c r="H666" s="59" t="e">
        <f>((Tablo1[[#This Row],[Esans Fiyat]]/#REF!*Tablo1[[#This Row],[Esans]]*100)+(#REF!/1000*Tablo1[[#This Row],[Su]]*100)+(#REF!/1000*Tablo1[[#This Row],[Alkol]]*100))*(#REF!/100)+#REF!</f>
        <v>#REF!</v>
      </c>
      <c r="I666" s="6" t="s">
        <v>776</v>
      </c>
      <c r="J666" s="53" t="e">
        <f>#REF!*Tablo1[[#This Row],[Esans]]</f>
        <v>#REF!</v>
      </c>
      <c r="K666" s="53" t="e">
        <f>#REF!*Tablo1[[#This Row],[Su]]</f>
        <v>#REF!</v>
      </c>
      <c r="L666" s="53" t="e">
        <f>#REF!*Tablo1[[#This Row],[Alkol]]</f>
        <v>#REF!</v>
      </c>
      <c r="M666" s="46"/>
      <c r="N666" s="53">
        <f>(Tablo1[[#This Row],[KALAN ESANS]]/Tablo1[[#This Row],[Esans]]*0.01)*(Tablo1[[#This Row],[Alkol]]*100)</f>
        <v>0</v>
      </c>
      <c r="O666" s="53">
        <f>(Tablo1[[#This Row],[KALAN ESANS]]/Tablo1[[#This Row],[Esans]]*0.01)*(Tablo1[[#This Row],[Su]]*100)</f>
        <v>0</v>
      </c>
      <c r="P666" s="53">
        <f>Tablo1[[#This Row],[KALAN ESANS]]+Tablo1[[#This Row],[ALKOL Mik]]+Tablo1[[#This Row],[SU Mik]]</f>
        <v>0</v>
      </c>
    </row>
    <row r="667" spans="1:16" ht="15" customHeight="1" x14ac:dyDescent="0.2">
      <c r="A667" s="20" t="s">
        <v>660</v>
      </c>
      <c r="B667" s="37"/>
      <c r="C667" s="3">
        <v>0.2</v>
      </c>
      <c r="D667" s="3">
        <v>0.02</v>
      </c>
      <c r="E667" s="9">
        <f t="shared" si="10"/>
        <v>0.78</v>
      </c>
      <c r="F667" s="6" t="s">
        <v>25</v>
      </c>
      <c r="G667" s="6" t="s">
        <v>770</v>
      </c>
      <c r="H667" s="59" t="e">
        <f>((Tablo1[[#This Row],[Esans Fiyat]]/#REF!*Tablo1[[#This Row],[Esans]]*100)+(#REF!/1000*Tablo1[[#This Row],[Su]]*100)+(#REF!/1000*Tablo1[[#This Row],[Alkol]]*100))*(#REF!/100)+#REF!</f>
        <v>#REF!</v>
      </c>
      <c r="I667" s="6" t="s">
        <v>776</v>
      </c>
      <c r="J667" s="53" t="e">
        <f>#REF!*Tablo1[[#This Row],[Esans]]</f>
        <v>#REF!</v>
      </c>
      <c r="K667" s="53" t="e">
        <f>#REF!*Tablo1[[#This Row],[Su]]</f>
        <v>#REF!</v>
      </c>
      <c r="L667" s="53" t="e">
        <f>#REF!*Tablo1[[#This Row],[Alkol]]</f>
        <v>#REF!</v>
      </c>
      <c r="M667" s="46"/>
      <c r="N667" s="53">
        <f>(Tablo1[[#This Row],[KALAN ESANS]]/Tablo1[[#This Row],[Esans]]*0.01)*(Tablo1[[#This Row],[Alkol]]*100)</f>
        <v>0</v>
      </c>
      <c r="O667" s="53">
        <f>(Tablo1[[#This Row],[KALAN ESANS]]/Tablo1[[#This Row],[Esans]]*0.01)*(Tablo1[[#This Row],[Su]]*100)</f>
        <v>0</v>
      </c>
      <c r="P667" s="53">
        <f>Tablo1[[#This Row],[KALAN ESANS]]+Tablo1[[#This Row],[ALKOL Mik]]+Tablo1[[#This Row],[SU Mik]]</f>
        <v>0</v>
      </c>
    </row>
    <row r="668" spans="1:16" ht="15" customHeight="1" x14ac:dyDescent="0.2">
      <c r="A668" s="20" t="s">
        <v>641</v>
      </c>
      <c r="B668" s="37"/>
      <c r="C668" s="3">
        <v>0.2</v>
      </c>
      <c r="D668" s="3">
        <v>0.02</v>
      </c>
      <c r="E668" s="9">
        <f t="shared" si="10"/>
        <v>0.78</v>
      </c>
      <c r="F668" s="6" t="s">
        <v>25</v>
      </c>
      <c r="G668" s="6" t="s">
        <v>770</v>
      </c>
      <c r="H668" s="59" t="e">
        <f>((Tablo1[[#This Row],[Esans Fiyat]]/#REF!*Tablo1[[#This Row],[Esans]]*100)+(#REF!/1000*Tablo1[[#This Row],[Su]]*100)+(#REF!/1000*Tablo1[[#This Row],[Alkol]]*100))*(#REF!/100)+#REF!</f>
        <v>#REF!</v>
      </c>
      <c r="I668" s="6" t="s">
        <v>776</v>
      </c>
      <c r="J668" s="53" t="e">
        <f>#REF!*Tablo1[[#This Row],[Esans]]</f>
        <v>#REF!</v>
      </c>
      <c r="K668" s="53" t="e">
        <f>#REF!*Tablo1[[#This Row],[Su]]</f>
        <v>#REF!</v>
      </c>
      <c r="L668" s="53" t="e">
        <f>#REF!*Tablo1[[#This Row],[Alkol]]</f>
        <v>#REF!</v>
      </c>
      <c r="M668" s="46"/>
      <c r="N668" s="53">
        <f>(Tablo1[[#This Row],[KALAN ESANS]]/Tablo1[[#This Row],[Esans]]*0.01)*(Tablo1[[#This Row],[Alkol]]*100)</f>
        <v>0</v>
      </c>
      <c r="O668" s="53">
        <f>(Tablo1[[#This Row],[KALAN ESANS]]/Tablo1[[#This Row],[Esans]]*0.01)*(Tablo1[[#This Row],[Su]]*100)</f>
        <v>0</v>
      </c>
      <c r="P668" s="53">
        <f>Tablo1[[#This Row],[KALAN ESANS]]+Tablo1[[#This Row],[ALKOL Mik]]+Tablo1[[#This Row],[SU Mik]]</f>
        <v>0</v>
      </c>
    </row>
    <row r="669" spans="1:16" ht="15" customHeight="1" x14ac:dyDescent="0.2">
      <c r="A669" s="20" t="s">
        <v>659</v>
      </c>
      <c r="B669" s="37"/>
      <c r="C669" s="3">
        <v>0.2</v>
      </c>
      <c r="D669" s="3">
        <v>0.02</v>
      </c>
      <c r="E669" s="9">
        <f t="shared" si="10"/>
        <v>0.78</v>
      </c>
      <c r="F669" s="6" t="s">
        <v>25</v>
      </c>
      <c r="G669" s="6" t="s">
        <v>770</v>
      </c>
      <c r="H669" s="59" t="e">
        <f>((Tablo1[[#This Row],[Esans Fiyat]]/#REF!*Tablo1[[#This Row],[Esans]]*100)+(#REF!/1000*Tablo1[[#This Row],[Su]]*100)+(#REF!/1000*Tablo1[[#This Row],[Alkol]]*100))*(#REF!/100)+#REF!</f>
        <v>#REF!</v>
      </c>
      <c r="I669" s="6" t="s">
        <v>776</v>
      </c>
      <c r="J669" s="53" t="e">
        <f>#REF!*Tablo1[[#This Row],[Esans]]</f>
        <v>#REF!</v>
      </c>
      <c r="K669" s="53" t="e">
        <f>#REF!*Tablo1[[#This Row],[Su]]</f>
        <v>#REF!</v>
      </c>
      <c r="L669" s="53" t="e">
        <f>#REF!*Tablo1[[#This Row],[Alkol]]</f>
        <v>#REF!</v>
      </c>
      <c r="M669" s="46"/>
      <c r="N669" s="53">
        <f>(Tablo1[[#This Row],[KALAN ESANS]]/Tablo1[[#This Row],[Esans]]*0.01)*(Tablo1[[#This Row],[Alkol]]*100)</f>
        <v>0</v>
      </c>
      <c r="O669" s="53">
        <f>(Tablo1[[#This Row],[KALAN ESANS]]/Tablo1[[#This Row],[Esans]]*0.01)*(Tablo1[[#This Row],[Su]]*100)</f>
        <v>0</v>
      </c>
      <c r="P669" s="53">
        <f>Tablo1[[#This Row],[KALAN ESANS]]+Tablo1[[#This Row],[ALKOL Mik]]+Tablo1[[#This Row],[SU Mik]]</f>
        <v>0</v>
      </c>
    </row>
    <row r="670" spans="1:16" ht="15" customHeight="1" x14ac:dyDescent="0.2">
      <c r="A670" s="20" t="s">
        <v>643</v>
      </c>
      <c r="B670" s="37"/>
      <c r="C670" s="3">
        <v>0.2</v>
      </c>
      <c r="D670" s="3">
        <v>0.02</v>
      </c>
      <c r="E670" s="9">
        <f t="shared" si="10"/>
        <v>0.78</v>
      </c>
      <c r="F670" s="6" t="s">
        <v>25</v>
      </c>
      <c r="G670" s="6" t="s">
        <v>770</v>
      </c>
      <c r="H670" s="59" t="e">
        <f>((Tablo1[[#This Row],[Esans Fiyat]]/#REF!*Tablo1[[#This Row],[Esans]]*100)+(#REF!/1000*Tablo1[[#This Row],[Su]]*100)+(#REF!/1000*Tablo1[[#This Row],[Alkol]]*100))*(#REF!/100)+#REF!</f>
        <v>#REF!</v>
      </c>
      <c r="I670" s="6" t="s">
        <v>776</v>
      </c>
      <c r="J670" s="53" t="e">
        <f>#REF!*Tablo1[[#This Row],[Esans]]</f>
        <v>#REF!</v>
      </c>
      <c r="K670" s="53" t="e">
        <f>#REF!*Tablo1[[#This Row],[Su]]</f>
        <v>#REF!</v>
      </c>
      <c r="L670" s="53" t="e">
        <f>#REF!*Tablo1[[#This Row],[Alkol]]</f>
        <v>#REF!</v>
      </c>
      <c r="M670" s="46"/>
      <c r="N670" s="53">
        <f>(Tablo1[[#This Row],[KALAN ESANS]]/Tablo1[[#This Row],[Esans]]*0.01)*(Tablo1[[#This Row],[Alkol]]*100)</f>
        <v>0</v>
      </c>
      <c r="O670" s="53">
        <f>(Tablo1[[#This Row],[KALAN ESANS]]/Tablo1[[#This Row],[Esans]]*0.01)*(Tablo1[[#This Row],[Su]]*100)</f>
        <v>0</v>
      </c>
      <c r="P670" s="53">
        <f>Tablo1[[#This Row],[KALAN ESANS]]+Tablo1[[#This Row],[ALKOL Mik]]+Tablo1[[#This Row],[SU Mik]]</f>
        <v>0</v>
      </c>
    </row>
    <row r="671" spans="1:16" ht="15" customHeight="1" x14ac:dyDescent="0.2">
      <c r="A671" s="20" t="s">
        <v>639</v>
      </c>
      <c r="B671" s="37"/>
      <c r="C671" s="3">
        <v>0.11</v>
      </c>
      <c r="D671" s="3">
        <v>0.02</v>
      </c>
      <c r="E671" s="9">
        <f t="shared" si="10"/>
        <v>0.87</v>
      </c>
      <c r="F671" s="6" t="s">
        <v>779</v>
      </c>
      <c r="G671" s="6" t="s">
        <v>770</v>
      </c>
      <c r="H671" s="59" t="e">
        <f>((Tablo1[[#This Row],[Esans Fiyat]]/#REF!*Tablo1[[#This Row],[Esans]]*100)+(#REF!/1000*Tablo1[[#This Row],[Su]]*100)+(#REF!/1000*Tablo1[[#This Row],[Alkol]]*100))*(#REF!/100)+#REF!</f>
        <v>#REF!</v>
      </c>
      <c r="I671" s="6" t="s">
        <v>772</v>
      </c>
      <c r="J671" s="53" t="e">
        <f>#REF!*Tablo1[[#This Row],[Esans]]</f>
        <v>#REF!</v>
      </c>
      <c r="K671" s="53" t="e">
        <f>#REF!*Tablo1[[#This Row],[Su]]</f>
        <v>#REF!</v>
      </c>
      <c r="L671" s="53" t="e">
        <f>#REF!*Tablo1[[#This Row],[Alkol]]</f>
        <v>#REF!</v>
      </c>
      <c r="M671" s="46"/>
      <c r="N671" s="53">
        <f>(Tablo1[[#This Row],[KALAN ESANS]]/Tablo1[[#This Row],[Esans]]*0.01)*(Tablo1[[#This Row],[Alkol]]*100)</f>
        <v>0</v>
      </c>
      <c r="O671" s="53">
        <f>(Tablo1[[#This Row],[KALAN ESANS]]/Tablo1[[#This Row],[Esans]]*0.01)*(Tablo1[[#This Row],[Su]]*100)</f>
        <v>0</v>
      </c>
      <c r="P671" s="53">
        <f>Tablo1[[#This Row],[KALAN ESANS]]+Tablo1[[#This Row],[ALKOL Mik]]+Tablo1[[#This Row],[SU Mik]]</f>
        <v>0</v>
      </c>
    </row>
    <row r="672" spans="1:16" ht="15" customHeight="1" x14ac:dyDescent="0.2">
      <c r="A672" s="20" t="s">
        <v>637</v>
      </c>
      <c r="B672" s="37"/>
      <c r="C672" s="3">
        <v>0.25</v>
      </c>
      <c r="D672" s="3">
        <v>0</v>
      </c>
      <c r="E672" s="9">
        <f t="shared" si="10"/>
        <v>0.75</v>
      </c>
      <c r="F672" s="6" t="s">
        <v>779</v>
      </c>
      <c r="G672" s="6" t="s">
        <v>770</v>
      </c>
      <c r="H672" s="59" t="e">
        <f>((Tablo1[[#This Row],[Esans Fiyat]]/#REF!*Tablo1[[#This Row],[Esans]]*100)+(#REF!/1000*Tablo1[[#This Row],[Su]]*100)+(#REF!/1000*Tablo1[[#This Row],[Alkol]]*100))*(#REF!/100)+#REF!</f>
        <v>#REF!</v>
      </c>
      <c r="I672" s="6" t="s">
        <v>776</v>
      </c>
      <c r="J672" s="53" t="e">
        <f>#REF!*Tablo1[[#This Row],[Esans]]</f>
        <v>#REF!</v>
      </c>
      <c r="K672" s="53" t="e">
        <f>#REF!*Tablo1[[#This Row],[Su]]</f>
        <v>#REF!</v>
      </c>
      <c r="L672" s="53" t="e">
        <f>#REF!*Tablo1[[#This Row],[Alkol]]</f>
        <v>#REF!</v>
      </c>
      <c r="M672" s="46"/>
      <c r="N672" s="53">
        <f>(Tablo1[[#This Row],[KALAN ESANS]]/Tablo1[[#This Row],[Esans]]*0.01)*(Tablo1[[#This Row],[Alkol]]*100)</f>
        <v>0</v>
      </c>
      <c r="O672" s="53">
        <f>(Tablo1[[#This Row],[KALAN ESANS]]/Tablo1[[#This Row],[Esans]]*0.01)*(Tablo1[[#This Row],[Su]]*100)</f>
        <v>0</v>
      </c>
      <c r="P672" s="53">
        <f>Tablo1[[#This Row],[KALAN ESANS]]+Tablo1[[#This Row],[ALKOL Mik]]+Tablo1[[#This Row],[SU Mik]]</f>
        <v>0</v>
      </c>
    </row>
    <row r="673" spans="1:16" ht="15" customHeight="1" x14ac:dyDescent="0.2">
      <c r="A673" s="20" t="s">
        <v>638</v>
      </c>
      <c r="B673" s="37"/>
      <c r="C673" s="3">
        <v>0.25</v>
      </c>
      <c r="D673" s="3">
        <v>0.02</v>
      </c>
      <c r="E673" s="9">
        <f t="shared" si="10"/>
        <v>0.73</v>
      </c>
      <c r="F673" s="6" t="s">
        <v>779</v>
      </c>
      <c r="G673" s="6" t="s">
        <v>770</v>
      </c>
      <c r="H673" s="59" t="e">
        <f>((Tablo1[[#This Row],[Esans Fiyat]]/#REF!*Tablo1[[#This Row],[Esans]]*100)+(#REF!/1000*Tablo1[[#This Row],[Su]]*100)+(#REF!/1000*Tablo1[[#This Row],[Alkol]]*100))*(#REF!/100)+#REF!</f>
        <v>#REF!</v>
      </c>
      <c r="I673" s="6" t="s">
        <v>776</v>
      </c>
      <c r="J673" s="53" t="e">
        <f>#REF!*Tablo1[[#This Row],[Esans]]</f>
        <v>#REF!</v>
      </c>
      <c r="K673" s="53" t="e">
        <f>#REF!*Tablo1[[#This Row],[Su]]</f>
        <v>#REF!</v>
      </c>
      <c r="L673" s="53" t="e">
        <f>#REF!*Tablo1[[#This Row],[Alkol]]</f>
        <v>#REF!</v>
      </c>
      <c r="M673" s="46"/>
      <c r="N673" s="53">
        <f>(Tablo1[[#This Row],[KALAN ESANS]]/Tablo1[[#This Row],[Esans]]*0.01)*(Tablo1[[#This Row],[Alkol]]*100)</f>
        <v>0</v>
      </c>
      <c r="O673" s="53">
        <f>(Tablo1[[#This Row],[KALAN ESANS]]/Tablo1[[#This Row],[Esans]]*0.01)*(Tablo1[[#This Row],[Su]]*100)</f>
        <v>0</v>
      </c>
      <c r="P673" s="53">
        <f>Tablo1[[#This Row],[KALAN ESANS]]+Tablo1[[#This Row],[ALKOL Mik]]+Tablo1[[#This Row],[SU Mik]]</f>
        <v>0</v>
      </c>
    </row>
    <row r="674" spans="1:16" ht="15" customHeight="1" x14ac:dyDescent="0.2">
      <c r="A674" s="20" t="s">
        <v>635</v>
      </c>
      <c r="B674" s="37"/>
      <c r="C674" s="3">
        <v>0.22</v>
      </c>
      <c r="D674" s="3">
        <v>0.02</v>
      </c>
      <c r="E674" s="9">
        <f t="shared" si="10"/>
        <v>0.76</v>
      </c>
      <c r="F674" s="6" t="s">
        <v>779</v>
      </c>
      <c r="G674" s="6" t="s">
        <v>770</v>
      </c>
      <c r="H674" s="59" t="e">
        <f>((Tablo1[[#This Row],[Esans Fiyat]]/#REF!*Tablo1[[#This Row],[Esans]]*100)+(#REF!/1000*Tablo1[[#This Row],[Su]]*100)+(#REF!/1000*Tablo1[[#This Row],[Alkol]]*100))*(#REF!/100)+#REF!</f>
        <v>#REF!</v>
      </c>
      <c r="I674" s="6" t="s">
        <v>772</v>
      </c>
      <c r="J674" s="53" t="e">
        <f>#REF!*Tablo1[[#This Row],[Esans]]</f>
        <v>#REF!</v>
      </c>
      <c r="K674" s="53" t="e">
        <f>#REF!*Tablo1[[#This Row],[Su]]</f>
        <v>#REF!</v>
      </c>
      <c r="L674" s="53" t="e">
        <f>#REF!*Tablo1[[#This Row],[Alkol]]</f>
        <v>#REF!</v>
      </c>
      <c r="M674" s="46"/>
      <c r="N674" s="53">
        <f>(Tablo1[[#This Row],[KALAN ESANS]]/Tablo1[[#This Row],[Esans]]*0.01)*(Tablo1[[#This Row],[Alkol]]*100)</f>
        <v>0</v>
      </c>
      <c r="O674" s="53">
        <f>(Tablo1[[#This Row],[KALAN ESANS]]/Tablo1[[#This Row],[Esans]]*0.01)*(Tablo1[[#This Row],[Su]]*100)</f>
        <v>0</v>
      </c>
      <c r="P674" s="53">
        <f>Tablo1[[#This Row],[KALAN ESANS]]+Tablo1[[#This Row],[ALKOL Mik]]+Tablo1[[#This Row],[SU Mik]]</f>
        <v>0</v>
      </c>
    </row>
    <row r="675" spans="1:16" ht="15" customHeight="1" x14ac:dyDescent="0.2">
      <c r="A675" s="20" t="s">
        <v>636</v>
      </c>
      <c r="B675" s="37"/>
      <c r="C675" s="3">
        <v>0.23</v>
      </c>
      <c r="D675" s="3">
        <v>0.02</v>
      </c>
      <c r="E675" s="9">
        <f t="shared" si="10"/>
        <v>0.75</v>
      </c>
      <c r="F675" s="6" t="s">
        <v>779</v>
      </c>
      <c r="G675" s="6" t="s">
        <v>770</v>
      </c>
      <c r="H675" s="59" t="e">
        <f>((Tablo1[[#This Row],[Esans Fiyat]]/#REF!*Tablo1[[#This Row],[Esans]]*100)+(#REF!/1000*Tablo1[[#This Row],[Su]]*100)+(#REF!/1000*Tablo1[[#This Row],[Alkol]]*100))*(#REF!/100)+#REF!</f>
        <v>#REF!</v>
      </c>
      <c r="I675" s="6" t="s">
        <v>772</v>
      </c>
      <c r="J675" s="53" t="e">
        <f>#REF!*Tablo1[[#This Row],[Esans]]</f>
        <v>#REF!</v>
      </c>
      <c r="K675" s="53" t="e">
        <f>#REF!*Tablo1[[#This Row],[Su]]</f>
        <v>#REF!</v>
      </c>
      <c r="L675" s="53" t="e">
        <f>#REF!*Tablo1[[#This Row],[Alkol]]</f>
        <v>#REF!</v>
      </c>
      <c r="M675" s="46"/>
      <c r="N675" s="53">
        <f>(Tablo1[[#This Row],[KALAN ESANS]]/Tablo1[[#This Row],[Esans]]*0.01)*(Tablo1[[#This Row],[Alkol]]*100)</f>
        <v>0</v>
      </c>
      <c r="O675" s="53">
        <f>(Tablo1[[#This Row],[KALAN ESANS]]/Tablo1[[#This Row],[Esans]]*0.01)*(Tablo1[[#This Row],[Su]]*100)</f>
        <v>0</v>
      </c>
      <c r="P675" s="53">
        <f>Tablo1[[#This Row],[KALAN ESANS]]+Tablo1[[#This Row],[ALKOL Mik]]+Tablo1[[#This Row],[SU Mik]]</f>
        <v>0</v>
      </c>
    </row>
    <row r="676" spans="1:16" ht="15" customHeight="1" x14ac:dyDescent="0.2">
      <c r="A676" s="20" t="s">
        <v>634</v>
      </c>
      <c r="B676" s="37"/>
      <c r="C676" s="3">
        <v>0.2</v>
      </c>
      <c r="D676" s="3">
        <v>0.02</v>
      </c>
      <c r="E676" s="9">
        <f t="shared" si="10"/>
        <v>0.78</v>
      </c>
      <c r="F676" s="6" t="s">
        <v>25</v>
      </c>
      <c r="G676" s="6" t="s">
        <v>770</v>
      </c>
      <c r="H676" s="59" t="e">
        <f>((Tablo1[[#This Row],[Esans Fiyat]]/#REF!*Tablo1[[#This Row],[Esans]]*100)+(#REF!/1000*Tablo1[[#This Row],[Su]]*100)+(#REF!/1000*Tablo1[[#This Row],[Alkol]]*100))*(#REF!/100)+#REF!</f>
        <v>#REF!</v>
      </c>
      <c r="I676" s="6" t="s">
        <v>776</v>
      </c>
      <c r="J676" s="53" t="e">
        <f>#REF!*Tablo1[[#This Row],[Esans]]</f>
        <v>#REF!</v>
      </c>
      <c r="K676" s="53" t="e">
        <f>#REF!*Tablo1[[#This Row],[Su]]</f>
        <v>#REF!</v>
      </c>
      <c r="L676" s="53" t="e">
        <f>#REF!*Tablo1[[#This Row],[Alkol]]</f>
        <v>#REF!</v>
      </c>
      <c r="M676" s="46"/>
      <c r="N676" s="53">
        <f>(Tablo1[[#This Row],[KALAN ESANS]]/Tablo1[[#This Row],[Esans]]*0.01)*(Tablo1[[#This Row],[Alkol]]*100)</f>
        <v>0</v>
      </c>
      <c r="O676" s="53">
        <f>(Tablo1[[#This Row],[KALAN ESANS]]/Tablo1[[#This Row],[Esans]]*0.01)*(Tablo1[[#This Row],[Su]]*100)</f>
        <v>0</v>
      </c>
      <c r="P676" s="53">
        <f>Tablo1[[#This Row],[KALAN ESANS]]+Tablo1[[#This Row],[ALKOL Mik]]+Tablo1[[#This Row],[SU Mik]]</f>
        <v>0</v>
      </c>
    </row>
    <row r="677" spans="1:16" ht="15" customHeight="1" x14ac:dyDescent="0.2">
      <c r="A677" s="20" t="s">
        <v>633</v>
      </c>
      <c r="B677" s="37"/>
      <c r="C677" s="3">
        <v>0.17</v>
      </c>
      <c r="D677" s="3">
        <v>0.02</v>
      </c>
      <c r="E677" s="9">
        <f t="shared" si="10"/>
        <v>0.80999999999999994</v>
      </c>
      <c r="F677" s="6" t="s">
        <v>25</v>
      </c>
      <c r="G677" s="6" t="s">
        <v>770</v>
      </c>
      <c r="H677" s="59" t="e">
        <f>((Tablo1[[#This Row],[Esans Fiyat]]/#REF!*Tablo1[[#This Row],[Esans]]*100)+(#REF!/1000*Tablo1[[#This Row],[Su]]*100)+(#REF!/1000*Tablo1[[#This Row],[Alkol]]*100))*(#REF!/100)+#REF!</f>
        <v>#REF!</v>
      </c>
      <c r="I677" s="6" t="s">
        <v>772</v>
      </c>
      <c r="J677" s="53" t="e">
        <f>#REF!*Tablo1[[#This Row],[Esans]]</f>
        <v>#REF!</v>
      </c>
      <c r="K677" s="53" t="e">
        <f>#REF!*Tablo1[[#This Row],[Su]]</f>
        <v>#REF!</v>
      </c>
      <c r="L677" s="53" t="e">
        <f>#REF!*Tablo1[[#This Row],[Alkol]]</f>
        <v>#REF!</v>
      </c>
      <c r="M677" s="46"/>
      <c r="N677" s="53">
        <f>(Tablo1[[#This Row],[KALAN ESANS]]/Tablo1[[#This Row],[Esans]]*0.01)*(Tablo1[[#This Row],[Alkol]]*100)</f>
        <v>0</v>
      </c>
      <c r="O677" s="53">
        <f>(Tablo1[[#This Row],[KALAN ESANS]]/Tablo1[[#This Row],[Esans]]*0.01)*(Tablo1[[#This Row],[Su]]*100)</f>
        <v>0</v>
      </c>
      <c r="P677" s="53">
        <f>Tablo1[[#This Row],[KALAN ESANS]]+Tablo1[[#This Row],[ALKOL Mik]]+Tablo1[[#This Row],[SU Mik]]</f>
        <v>0</v>
      </c>
    </row>
    <row r="678" spans="1:16" ht="15" customHeight="1" x14ac:dyDescent="0.2">
      <c r="A678" s="20" t="s">
        <v>632</v>
      </c>
      <c r="B678" s="37"/>
      <c r="C678" s="3">
        <v>0.2</v>
      </c>
      <c r="D678" s="3">
        <v>0.02</v>
      </c>
      <c r="E678" s="9">
        <f t="shared" si="10"/>
        <v>0.78</v>
      </c>
      <c r="F678" s="6" t="s">
        <v>25</v>
      </c>
      <c r="G678" s="6" t="s">
        <v>770</v>
      </c>
      <c r="H678" s="59" t="e">
        <f>((Tablo1[[#This Row],[Esans Fiyat]]/#REF!*Tablo1[[#This Row],[Esans]]*100)+(#REF!/1000*Tablo1[[#This Row],[Su]]*100)+(#REF!/1000*Tablo1[[#This Row],[Alkol]]*100))*(#REF!/100)+#REF!</f>
        <v>#REF!</v>
      </c>
      <c r="I678" s="6" t="s">
        <v>776</v>
      </c>
      <c r="J678" s="53" t="e">
        <f>#REF!*Tablo1[[#This Row],[Esans]]</f>
        <v>#REF!</v>
      </c>
      <c r="K678" s="53" t="e">
        <f>#REF!*Tablo1[[#This Row],[Su]]</f>
        <v>#REF!</v>
      </c>
      <c r="L678" s="53" t="e">
        <f>#REF!*Tablo1[[#This Row],[Alkol]]</f>
        <v>#REF!</v>
      </c>
      <c r="M678" s="46"/>
      <c r="N678" s="53">
        <f>(Tablo1[[#This Row],[KALAN ESANS]]/Tablo1[[#This Row],[Esans]]*0.01)*(Tablo1[[#This Row],[Alkol]]*100)</f>
        <v>0</v>
      </c>
      <c r="O678" s="53">
        <f>(Tablo1[[#This Row],[KALAN ESANS]]/Tablo1[[#This Row],[Esans]]*0.01)*(Tablo1[[#This Row],[Su]]*100)</f>
        <v>0</v>
      </c>
      <c r="P678" s="53">
        <f>Tablo1[[#This Row],[KALAN ESANS]]+Tablo1[[#This Row],[ALKOL Mik]]+Tablo1[[#This Row],[SU Mik]]</f>
        <v>0</v>
      </c>
    </row>
    <row r="679" spans="1:16" ht="15" customHeight="1" x14ac:dyDescent="0.2">
      <c r="A679" s="20" t="s">
        <v>631</v>
      </c>
      <c r="B679" s="37"/>
      <c r="C679" s="3">
        <v>0.2</v>
      </c>
      <c r="D679" s="3">
        <v>0</v>
      </c>
      <c r="E679" s="9">
        <f t="shared" si="10"/>
        <v>0.8</v>
      </c>
      <c r="F679" s="6" t="s">
        <v>25</v>
      </c>
      <c r="G679" s="6" t="s">
        <v>770</v>
      </c>
      <c r="H679" s="59" t="e">
        <f>((Tablo1[[#This Row],[Esans Fiyat]]/#REF!*Tablo1[[#This Row],[Esans]]*100)+(#REF!/1000*Tablo1[[#This Row],[Su]]*100)+(#REF!/1000*Tablo1[[#This Row],[Alkol]]*100))*(#REF!/100)+#REF!</f>
        <v>#REF!</v>
      </c>
      <c r="I679" s="6" t="s">
        <v>776</v>
      </c>
      <c r="J679" s="53" t="e">
        <f>#REF!*Tablo1[[#This Row],[Esans]]</f>
        <v>#REF!</v>
      </c>
      <c r="K679" s="53" t="e">
        <f>#REF!*Tablo1[[#This Row],[Su]]</f>
        <v>#REF!</v>
      </c>
      <c r="L679" s="53" t="e">
        <f>#REF!*Tablo1[[#This Row],[Alkol]]</f>
        <v>#REF!</v>
      </c>
      <c r="M679" s="46"/>
      <c r="N679" s="53">
        <f>(Tablo1[[#This Row],[KALAN ESANS]]/Tablo1[[#This Row],[Esans]]*0.01)*(Tablo1[[#This Row],[Alkol]]*100)</f>
        <v>0</v>
      </c>
      <c r="O679" s="53">
        <f>(Tablo1[[#This Row],[KALAN ESANS]]/Tablo1[[#This Row],[Esans]]*0.01)*(Tablo1[[#This Row],[Su]]*100)</f>
        <v>0</v>
      </c>
      <c r="P679" s="53">
        <f>Tablo1[[#This Row],[KALAN ESANS]]+Tablo1[[#This Row],[ALKOL Mik]]+Tablo1[[#This Row],[SU Mik]]</f>
        <v>0</v>
      </c>
    </row>
    <row r="680" spans="1:16" ht="15" customHeight="1" x14ac:dyDescent="0.2">
      <c r="A680" s="20" t="s">
        <v>630</v>
      </c>
      <c r="B680" s="37"/>
      <c r="C680" s="3">
        <v>0.2</v>
      </c>
      <c r="D680" s="3">
        <v>0.02</v>
      </c>
      <c r="E680" s="9">
        <f t="shared" si="10"/>
        <v>0.78</v>
      </c>
      <c r="F680" s="6" t="s">
        <v>25</v>
      </c>
      <c r="G680" s="6" t="s">
        <v>770</v>
      </c>
      <c r="H680" s="59" t="e">
        <f>((Tablo1[[#This Row],[Esans Fiyat]]/#REF!*Tablo1[[#This Row],[Esans]]*100)+(#REF!/1000*Tablo1[[#This Row],[Su]]*100)+(#REF!/1000*Tablo1[[#This Row],[Alkol]]*100))*(#REF!/100)+#REF!</f>
        <v>#REF!</v>
      </c>
      <c r="I680" s="6" t="s">
        <v>776</v>
      </c>
      <c r="J680" s="53" t="e">
        <f>#REF!*Tablo1[[#This Row],[Esans]]</f>
        <v>#REF!</v>
      </c>
      <c r="K680" s="53" t="e">
        <f>#REF!*Tablo1[[#This Row],[Su]]</f>
        <v>#REF!</v>
      </c>
      <c r="L680" s="53" t="e">
        <f>#REF!*Tablo1[[#This Row],[Alkol]]</f>
        <v>#REF!</v>
      </c>
      <c r="M680" s="46"/>
      <c r="N680" s="53">
        <f>(Tablo1[[#This Row],[KALAN ESANS]]/Tablo1[[#This Row],[Esans]]*0.01)*(Tablo1[[#This Row],[Alkol]]*100)</f>
        <v>0</v>
      </c>
      <c r="O680" s="53">
        <f>(Tablo1[[#This Row],[KALAN ESANS]]/Tablo1[[#This Row],[Esans]]*0.01)*(Tablo1[[#This Row],[Su]]*100)</f>
        <v>0</v>
      </c>
      <c r="P680" s="53">
        <f>Tablo1[[#This Row],[KALAN ESANS]]+Tablo1[[#This Row],[ALKOL Mik]]+Tablo1[[#This Row],[SU Mik]]</f>
        <v>0</v>
      </c>
    </row>
    <row r="681" spans="1:16" ht="15" customHeight="1" x14ac:dyDescent="0.2">
      <c r="A681" s="20" t="s">
        <v>629</v>
      </c>
      <c r="B681" s="37"/>
      <c r="C681" s="3">
        <v>0.25</v>
      </c>
      <c r="D681" s="3">
        <v>0.02</v>
      </c>
      <c r="E681" s="9">
        <f t="shared" si="10"/>
        <v>0.73</v>
      </c>
      <c r="F681" s="6" t="s">
        <v>779</v>
      </c>
      <c r="G681" s="6" t="s">
        <v>770</v>
      </c>
      <c r="H681" s="59" t="e">
        <f>((Tablo1[[#This Row],[Esans Fiyat]]/#REF!*Tablo1[[#This Row],[Esans]]*100)+(#REF!/1000*Tablo1[[#This Row],[Su]]*100)+(#REF!/1000*Tablo1[[#This Row],[Alkol]]*100))*(#REF!/100)+#REF!</f>
        <v>#REF!</v>
      </c>
      <c r="I681" s="6" t="s">
        <v>776</v>
      </c>
      <c r="J681" s="53" t="e">
        <f>#REF!*Tablo1[[#This Row],[Esans]]</f>
        <v>#REF!</v>
      </c>
      <c r="K681" s="53" t="e">
        <f>#REF!*Tablo1[[#This Row],[Su]]</f>
        <v>#REF!</v>
      </c>
      <c r="L681" s="53" t="e">
        <f>#REF!*Tablo1[[#This Row],[Alkol]]</f>
        <v>#REF!</v>
      </c>
      <c r="M681" s="46"/>
      <c r="N681" s="53">
        <f>(Tablo1[[#This Row],[KALAN ESANS]]/Tablo1[[#This Row],[Esans]]*0.01)*(Tablo1[[#This Row],[Alkol]]*100)</f>
        <v>0</v>
      </c>
      <c r="O681" s="53">
        <f>(Tablo1[[#This Row],[KALAN ESANS]]/Tablo1[[#This Row],[Esans]]*0.01)*(Tablo1[[#This Row],[Su]]*100)</f>
        <v>0</v>
      </c>
      <c r="P681" s="53">
        <f>Tablo1[[#This Row],[KALAN ESANS]]+Tablo1[[#This Row],[ALKOL Mik]]+Tablo1[[#This Row],[SU Mik]]</f>
        <v>0</v>
      </c>
    </row>
    <row r="682" spans="1:16" ht="15" customHeight="1" x14ac:dyDescent="0.2">
      <c r="A682" s="20" t="s">
        <v>618</v>
      </c>
      <c r="B682" s="37"/>
      <c r="C682" s="3">
        <v>0.25</v>
      </c>
      <c r="D682" s="3">
        <v>0.02</v>
      </c>
      <c r="E682" s="9">
        <f t="shared" si="10"/>
        <v>0.73</v>
      </c>
      <c r="F682" s="6" t="s">
        <v>779</v>
      </c>
      <c r="G682" s="6" t="s">
        <v>770</v>
      </c>
      <c r="H682" s="59" t="e">
        <f>((Tablo1[[#This Row],[Esans Fiyat]]/#REF!*Tablo1[[#This Row],[Esans]]*100)+(#REF!/1000*Tablo1[[#This Row],[Su]]*100)+(#REF!/1000*Tablo1[[#This Row],[Alkol]]*100))*(#REF!/100)+#REF!</f>
        <v>#REF!</v>
      </c>
      <c r="I682" s="6" t="s">
        <v>776</v>
      </c>
      <c r="J682" s="53" t="e">
        <f>#REF!*Tablo1[[#This Row],[Esans]]</f>
        <v>#REF!</v>
      </c>
      <c r="K682" s="53" t="e">
        <f>#REF!*Tablo1[[#This Row],[Su]]</f>
        <v>#REF!</v>
      </c>
      <c r="L682" s="53" t="e">
        <f>#REF!*Tablo1[[#This Row],[Alkol]]</f>
        <v>#REF!</v>
      </c>
      <c r="M682" s="46"/>
      <c r="N682" s="53">
        <f>(Tablo1[[#This Row],[KALAN ESANS]]/Tablo1[[#This Row],[Esans]]*0.01)*(Tablo1[[#This Row],[Alkol]]*100)</f>
        <v>0</v>
      </c>
      <c r="O682" s="53">
        <f>(Tablo1[[#This Row],[KALAN ESANS]]/Tablo1[[#This Row],[Esans]]*0.01)*(Tablo1[[#This Row],[Su]]*100)</f>
        <v>0</v>
      </c>
      <c r="P682" s="53">
        <f>Tablo1[[#This Row],[KALAN ESANS]]+Tablo1[[#This Row],[ALKOL Mik]]+Tablo1[[#This Row],[SU Mik]]</f>
        <v>0</v>
      </c>
    </row>
    <row r="683" spans="1:16" ht="15" customHeight="1" x14ac:dyDescent="0.2">
      <c r="A683" s="20" t="s">
        <v>628</v>
      </c>
      <c r="B683" s="37"/>
      <c r="C683" s="3">
        <v>0.25</v>
      </c>
      <c r="D683" s="3">
        <v>0.02</v>
      </c>
      <c r="E683" s="9">
        <f t="shared" si="10"/>
        <v>0.73</v>
      </c>
      <c r="F683" s="6" t="s">
        <v>779</v>
      </c>
      <c r="G683" s="6" t="s">
        <v>770</v>
      </c>
      <c r="H683" s="59" t="e">
        <f>((Tablo1[[#This Row],[Esans Fiyat]]/#REF!*Tablo1[[#This Row],[Esans]]*100)+(#REF!/1000*Tablo1[[#This Row],[Su]]*100)+(#REF!/1000*Tablo1[[#This Row],[Alkol]]*100))*(#REF!/100)+#REF!</f>
        <v>#REF!</v>
      </c>
      <c r="I683" s="6" t="s">
        <v>776</v>
      </c>
      <c r="J683" s="53" t="e">
        <f>#REF!*Tablo1[[#This Row],[Esans]]</f>
        <v>#REF!</v>
      </c>
      <c r="K683" s="53" t="e">
        <f>#REF!*Tablo1[[#This Row],[Su]]</f>
        <v>#REF!</v>
      </c>
      <c r="L683" s="53" t="e">
        <f>#REF!*Tablo1[[#This Row],[Alkol]]</f>
        <v>#REF!</v>
      </c>
      <c r="M683" s="46"/>
      <c r="N683" s="53">
        <f>(Tablo1[[#This Row],[KALAN ESANS]]/Tablo1[[#This Row],[Esans]]*0.01)*(Tablo1[[#This Row],[Alkol]]*100)</f>
        <v>0</v>
      </c>
      <c r="O683" s="53">
        <f>(Tablo1[[#This Row],[KALAN ESANS]]/Tablo1[[#This Row],[Esans]]*0.01)*(Tablo1[[#This Row],[Su]]*100)</f>
        <v>0</v>
      </c>
      <c r="P683" s="53">
        <f>Tablo1[[#This Row],[KALAN ESANS]]+Tablo1[[#This Row],[ALKOL Mik]]+Tablo1[[#This Row],[SU Mik]]</f>
        <v>0</v>
      </c>
    </row>
    <row r="684" spans="1:16" ht="15" customHeight="1" x14ac:dyDescent="0.2">
      <c r="A684" s="20" t="s">
        <v>611</v>
      </c>
      <c r="B684" s="37"/>
      <c r="C684" s="3">
        <v>0.25</v>
      </c>
      <c r="D684" s="3">
        <v>0</v>
      </c>
      <c r="E684" s="9">
        <f t="shared" si="10"/>
        <v>0.75</v>
      </c>
      <c r="F684" s="6" t="s">
        <v>779</v>
      </c>
      <c r="G684" s="6" t="s">
        <v>770</v>
      </c>
      <c r="H684" s="59" t="e">
        <f>((Tablo1[[#This Row],[Esans Fiyat]]/#REF!*Tablo1[[#This Row],[Esans]]*100)+(#REF!/1000*Tablo1[[#This Row],[Su]]*100)+(#REF!/1000*Tablo1[[#This Row],[Alkol]]*100))*(#REF!/100)+#REF!</f>
        <v>#REF!</v>
      </c>
      <c r="I684" s="6" t="s">
        <v>776</v>
      </c>
      <c r="J684" s="53" t="e">
        <f>#REF!*Tablo1[[#This Row],[Esans]]</f>
        <v>#REF!</v>
      </c>
      <c r="K684" s="53" t="e">
        <f>#REF!*Tablo1[[#This Row],[Su]]</f>
        <v>#REF!</v>
      </c>
      <c r="L684" s="53" t="e">
        <f>#REF!*Tablo1[[#This Row],[Alkol]]</f>
        <v>#REF!</v>
      </c>
      <c r="M684" s="46"/>
      <c r="N684" s="53">
        <f>(Tablo1[[#This Row],[KALAN ESANS]]/Tablo1[[#This Row],[Esans]]*0.01)*(Tablo1[[#This Row],[Alkol]]*100)</f>
        <v>0</v>
      </c>
      <c r="O684" s="53">
        <f>(Tablo1[[#This Row],[KALAN ESANS]]/Tablo1[[#This Row],[Esans]]*0.01)*(Tablo1[[#This Row],[Su]]*100)</f>
        <v>0</v>
      </c>
      <c r="P684" s="53">
        <f>Tablo1[[#This Row],[KALAN ESANS]]+Tablo1[[#This Row],[ALKOL Mik]]+Tablo1[[#This Row],[SU Mik]]</f>
        <v>0</v>
      </c>
    </row>
    <row r="685" spans="1:16" ht="15" customHeight="1" x14ac:dyDescent="0.2">
      <c r="A685" s="20" t="s">
        <v>616</v>
      </c>
      <c r="B685" s="37"/>
      <c r="C685" s="3">
        <v>0.25</v>
      </c>
      <c r="D685" s="3">
        <v>0.02</v>
      </c>
      <c r="E685" s="9">
        <f t="shared" si="10"/>
        <v>0.73</v>
      </c>
      <c r="F685" s="6" t="s">
        <v>779</v>
      </c>
      <c r="G685" s="6" t="s">
        <v>770</v>
      </c>
      <c r="H685" s="59" t="e">
        <f>((Tablo1[[#This Row],[Esans Fiyat]]/#REF!*Tablo1[[#This Row],[Esans]]*100)+(#REF!/1000*Tablo1[[#This Row],[Su]]*100)+(#REF!/1000*Tablo1[[#This Row],[Alkol]]*100))*(#REF!/100)+#REF!</f>
        <v>#REF!</v>
      </c>
      <c r="I685" s="6" t="s">
        <v>776</v>
      </c>
      <c r="J685" s="53" t="e">
        <f>#REF!*Tablo1[[#This Row],[Esans]]</f>
        <v>#REF!</v>
      </c>
      <c r="K685" s="53" t="e">
        <f>#REF!*Tablo1[[#This Row],[Su]]</f>
        <v>#REF!</v>
      </c>
      <c r="L685" s="53" t="e">
        <f>#REF!*Tablo1[[#This Row],[Alkol]]</f>
        <v>#REF!</v>
      </c>
      <c r="M685" s="46"/>
      <c r="N685" s="53">
        <f>(Tablo1[[#This Row],[KALAN ESANS]]/Tablo1[[#This Row],[Esans]]*0.01)*(Tablo1[[#This Row],[Alkol]]*100)</f>
        <v>0</v>
      </c>
      <c r="O685" s="53">
        <f>(Tablo1[[#This Row],[KALAN ESANS]]/Tablo1[[#This Row],[Esans]]*0.01)*(Tablo1[[#This Row],[Su]]*100)</f>
        <v>0</v>
      </c>
      <c r="P685" s="53">
        <f>Tablo1[[#This Row],[KALAN ESANS]]+Tablo1[[#This Row],[ALKOL Mik]]+Tablo1[[#This Row],[SU Mik]]</f>
        <v>0</v>
      </c>
    </row>
    <row r="686" spans="1:16" ht="15" customHeight="1" x14ac:dyDescent="0.2">
      <c r="A686" s="20" t="s">
        <v>627</v>
      </c>
      <c r="B686" s="37"/>
      <c r="C686" s="3">
        <v>0.25</v>
      </c>
      <c r="D686" s="3">
        <v>0.02</v>
      </c>
      <c r="E686" s="9">
        <f t="shared" si="10"/>
        <v>0.73</v>
      </c>
      <c r="F686" s="6" t="s">
        <v>779</v>
      </c>
      <c r="G686" s="6" t="s">
        <v>770</v>
      </c>
      <c r="H686" s="59" t="e">
        <f>((Tablo1[[#This Row],[Esans Fiyat]]/#REF!*Tablo1[[#This Row],[Esans]]*100)+(#REF!/1000*Tablo1[[#This Row],[Su]]*100)+(#REF!/1000*Tablo1[[#This Row],[Alkol]]*100))*(#REF!/100)+#REF!</f>
        <v>#REF!</v>
      </c>
      <c r="I686" s="6" t="s">
        <v>776</v>
      </c>
      <c r="J686" s="53" t="e">
        <f>#REF!*Tablo1[[#This Row],[Esans]]</f>
        <v>#REF!</v>
      </c>
      <c r="K686" s="53" t="e">
        <f>#REF!*Tablo1[[#This Row],[Su]]</f>
        <v>#REF!</v>
      </c>
      <c r="L686" s="53" t="e">
        <f>#REF!*Tablo1[[#This Row],[Alkol]]</f>
        <v>#REF!</v>
      </c>
      <c r="M686" s="46"/>
      <c r="N686" s="53">
        <f>(Tablo1[[#This Row],[KALAN ESANS]]/Tablo1[[#This Row],[Esans]]*0.01)*(Tablo1[[#This Row],[Alkol]]*100)</f>
        <v>0</v>
      </c>
      <c r="O686" s="53">
        <f>(Tablo1[[#This Row],[KALAN ESANS]]/Tablo1[[#This Row],[Esans]]*0.01)*(Tablo1[[#This Row],[Su]]*100)</f>
        <v>0</v>
      </c>
      <c r="P686" s="53">
        <f>Tablo1[[#This Row],[KALAN ESANS]]+Tablo1[[#This Row],[ALKOL Mik]]+Tablo1[[#This Row],[SU Mik]]</f>
        <v>0</v>
      </c>
    </row>
    <row r="687" spans="1:16" ht="15" customHeight="1" x14ac:dyDescent="0.2">
      <c r="A687" s="20" t="s">
        <v>626</v>
      </c>
      <c r="B687" s="37"/>
      <c r="C687" s="3">
        <v>0.25</v>
      </c>
      <c r="D687" s="3">
        <v>0.02</v>
      </c>
      <c r="E687" s="9">
        <f t="shared" si="10"/>
        <v>0.73</v>
      </c>
      <c r="F687" s="6" t="s">
        <v>779</v>
      </c>
      <c r="G687" s="6" t="s">
        <v>770</v>
      </c>
      <c r="H687" s="59" t="e">
        <f>((Tablo1[[#This Row],[Esans Fiyat]]/#REF!*Tablo1[[#This Row],[Esans]]*100)+(#REF!/1000*Tablo1[[#This Row],[Su]]*100)+(#REF!/1000*Tablo1[[#This Row],[Alkol]]*100))*(#REF!/100)+#REF!</f>
        <v>#REF!</v>
      </c>
      <c r="I687" s="6" t="s">
        <v>776</v>
      </c>
      <c r="J687" s="53" t="e">
        <f>#REF!*Tablo1[[#This Row],[Esans]]</f>
        <v>#REF!</v>
      </c>
      <c r="K687" s="53" t="e">
        <f>#REF!*Tablo1[[#This Row],[Su]]</f>
        <v>#REF!</v>
      </c>
      <c r="L687" s="53" t="e">
        <f>#REF!*Tablo1[[#This Row],[Alkol]]</f>
        <v>#REF!</v>
      </c>
      <c r="M687" s="46"/>
      <c r="N687" s="53">
        <f>(Tablo1[[#This Row],[KALAN ESANS]]/Tablo1[[#This Row],[Esans]]*0.01)*(Tablo1[[#This Row],[Alkol]]*100)</f>
        <v>0</v>
      </c>
      <c r="O687" s="53">
        <f>(Tablo1[[#This Row],[KALAN ESANS]]/Tablo1[[#This Row],[Esans]]*0.01)*(Tablo1[[#This Row],[Su]]*100)</f>
        <v>0</v>
      </c>
      <c r="P687" s="53">
        <f>Tablo1[[#This Row],[KALAN ESANS]]+Tablo1[[#This Row],[ALKOL Mik]]+Tablo1[[#This Row],[SU Mik]]</f>
        <v>0</v>
      </c>
    </row>
    <row r="688" spans="1:16" ht="15" customHeight="1" x14ac:dyDescent="0.2">
      <c r="A688" s="20" t="s">
        <v>625</v>
      </c>
      <c r="B688" s="37"/>
      <c r="C688" s="3">
        <v>0.25</v>
      </c>
      <c r="D688" s="3">
        <v>0.02</v>
      </c>
      <c r="E688" s="9">
        <f t="shared" si="10"/>
        <v>0.73</v>
      </c>
      <c r="F688" s="6" t="s">
        <v>779</v>
      </c>
      <c r="G688" s="6" t="s">
        <v>770</v>
      </c>
      <c r="H688" s="59" t="e">
        <f>((Tablo1[[#This Row],[Esans Fiyat]]/#REF!*Tablo1[[#This Row],[Esans]]*100)+(#REF!/1000*Tablo1[[#This Row],[Su]]*100)+(#REF!/1000*Tablo1[[#This Row],[Alkol]]*100))*(#REF!/100)+#REF!</f>
        <v>#REF!</v>
      </c>
      <c r="I688" s="6" t="s">
        <v>776</v>
      </c>
      <c r="J688" s="53" t="e">
        <f>#REF!*Tablo1[[#This Row],[Esans]]</f>
        <v>#REF!</v>
      </c>
      <c r="K688" s="53" t="e">
        <f>#REF!*Tablo1[[#This Row],[Su]]</f>
        <v>#REF!</v>
      </c>
      <c r="L688" s="53" t="e">
        <f>#REF!*Tablo1[[#This Row],[Alkol]]</f>
        <v>#REF!</v>
      </c>
      <c r="M688" s="46"/>
      <c r="N688" s="53">
        <f>(Tablo1[[#This Row],[KALAN ESANS]]/Tablo1[[#This Row],[Esans]]*0.01)*(Tablo1[[#This Row],[Alkol]]*100)</f>
        <v>0</v>
      </c>
      <c r="O688" s="53">
        <f>(Tablo1[[#This Row],[KALAN ESANS]]/Tablo1[[#This Row],[Esans]]*0.01)*(Tablo1[[#This Row],[Su]]*100)</f>
        <v>0</v>
      </c>
      <c r="P688" s="53">
        <f>Tablo1[[#This Row],[KALAN ESANS]]+Tablo1[[#This Row],[ALKOL Mik]]+Tablo1[[#This Row],[SU Mik]]</f>
        <v>0</v>
      </c>
    </row>
    <row r="689" spans="1:16" ht="15" customHeight="1" x14ac:dyDescent="0.2">
      <c r="A689" s="20" t="s">
        <v>624</v>
      </c>
      <c r="B689" s="37"/>
      <c r="C689" s="3">
        <v>0.25</v>
      </c>
      <c r="D689" s="3">
        <v>0.02</v>
      </c>
      <c r="E689" s="9">
        <f t="shared" si="10"/>
        <v>0.73</v>
      </c>
      <c r="F689" s="6" t="s">
        <v>779</v>
      </c>
      <c r="G689" s="6" t="s">
        <v>770</v>
      </c>
      <c r="H689" s="59" t="e">
        <f>((Tablo1[[#This Row],[Esans Fiyat]]/#REF!*Tablo1[[#This Row],[Esans]]*100)+(#REF!/1000*Tablo1[[#This Row],[Su]]*100)+(#REF!/1000*Tablo1[[#This Row],[Alkol]]*100))*(#REF!/100)+#REF!</f>
        <v>#REF!</v>
      </c>
      <c r="I689" s="6" t="s">
        <v>776</v>
      </c>
      <c r="J689" s="53" t="e">
        <f>#REF!*Tablo1[[#This Row],[Esans]]</f>
        <v>#REF!</v>
      </c>
      <c r="K689" s="53" t="e">
        <f>#REF!*Tablo1[[#This Row],[Su]]</f>
        <v>#REF!</v>
      </c>
      <c r="L689" s="53" t="e">
        <f>#REF!*Tablo1[[#This Row],[Alkol]]</f>
        <v>#REF!</v>
      </c>
      <c r="M689" s="46"/>
      <c r="N689" s="53">
        <f>(Tablo1[[#This Row],[KALAN ESANS]]/Tablo1[[#This Row],[Esans]]*0.01)*(Tablo1[[#This Row],[Alkol]]*100)</f>
        <v>0</v>
      </c>
      <c r="O689" s="53">
        <f>(Tablo1[[#This Row],[KALAN ESANS]]/Tablo1[[#This Row],[Esans]]*0.01)*(Tablo1[[#This Row],[Su]]*100)</f>
        <v>0</v>
      </c>
      <c r="P689" s="53">
        <f>Tablo1[[#This Row],[KALAN ESANS]]+Tablo1[[#This Row],[ALKOL Mik]]+Tablo1[[#This Row],[SU Mik]]</f>
        <v>0</v>
      </c>
    </row>
    <row r="690" spans="1:16" ht="15" customHeight="1" x14ac:dyDescent="0.2">
      <c r="A690" s="20" t="s">
        <v>623</v>
      </c>
      <c r="B690" s="37"/>
      <c r="C690" s="3">
        <v>0.17</v>
      </c>
      <c r="D690" s="3">
        <v>0.02</v>
      </c>
      <c r="E690" s="9">
        <f t="shared" si="10"/>
        <v>0.80999999999999994</v>
      </c>
      <c r="F690" s="6" t="s">
        <v>779</v>
      </c>
      <c r="G690" s="6" t="s">
        <v>770</v>
      </c>
      <c r="H690" s="59" t="e">
        <f>((Tablo1[[#This Row],[Esans Fiyat]]/#REF!*Tablo1[[#This Row],[Esans]]*100)+(#REF!/1000*Tablo1[[#This Row],[Su]]*100)+(#REF!/1000*Tablo1[[#This Row],[Alkol]]*100))*(#REF!/100)+#REF!</f>
        <v>#REF!</v>
      </c>
      <c r="I690" s="6" t="s">
        <v>782</v>
      </c>
      <c r="J690" s="53" t="e">
        <f>#REF!*Tablo1[[#This Row],[Esans]]</f>
        <v>#REF!</v>
      </c>
      <c r="K690" s="53" t="e">
        <f>#REF!*Tablo1[[#This Row],[Su]]</f>
        <v>#REF!</v>
      </c>
      <c r="L690" s="53" t="e">
        <f>#REF!*Tablo1[[#This Row],[Alkol]]</f>
        <v>#REF!</v>
      </c>
      <c r="M690" s="46"/>
      <c r="N690" s="53">
        <f>(Tablo1[[#This Row],[KALAN ESANS]]/Tablo1[[#This Row],[Esans]]*0.01)*(Tablo1[[#This Row],[Alkol]]*100)</f>
        <v>0</v>
      </c>
      <c r="O690" s="53">
        <f>(Tablo1[[#This Row],[KALAN ESANS]]/Tablo1[[#This Row],[Esans]]*0.01)*(Tablo1[[#This Row],[Su]]*100)</f>
        <v>0</v>
      </c>
      <c r="P690" s="53">
        <f>Tablo1[[#This Row],[KALAN ESANS]]+Tablo1[[#This Row],[ALKOL Mik]]+Tablo1[[#This Row],[SU Mik]]</f>
        <v>0</v>
      </c>
    </row>
    <row r="691" spans="1:16" ht="15" customHeight="1" x14ac:dyDescent="0.2">
      <c r="A691" s="20" t="s">
        <v>613</v>
      </c>
      <c r="B691" s="37"/>
      <c r="C691" s="3">
        <v>0.25</v>
      </c>
      <c r="D691" s="3">
        <v>0.02</v>
      </c>
      <c r="E691" s="9">
        <f t="shared" si="10"/>
        <v>0.73</v>
      </c>
      <c r="F691" s="6" t="s">
        <v>779</v>
      </c>
      <c r="G691" s="6" t="s">
        <v>770</v>
      </c>
      <c r="H691" s="59" t="e">
        <f>((Tablo1[[#This Row],[Esans Fiyat]]/#REF!*Tablo1[[#This Row],[Esans]]*100)+(#REF!/1000*Tablo1[[#This Row],[Su]]*100)+(#REF!/1000*Tablo1[[#This Row],[Alkol]]*100))*(#REF!/100)+#REF!</f>
        <v>#REF!</v>
      </c>
      <c r="I691" s="6" t="s">
        <v>776</v>
      </c>
      <c r="J691" s="53" t="e">
        <f>#REF!*Tablo1[[#This Row],[Esans]]</f>
        <v>#REF!</v>
      </c>
      <c r="K691" s="53" t="e">
        <f>#REF!*Tablo1[[#This Row],[Su]]</f>
        <v>#REF!</v>
      </c>
      <c r="L691" s="53" t="e">
        <f>#REF!*Tablo1[[#This Row],[Alkol]]</f>
        <v>#REF!</v>
      </c>
      <c r="M691" s="46"/>
      <c r="N691" s="53">
        <f>(Tablo1[[#This Row],[KALAN ESANS]]/Tablo1[[#This Row],[Esans]]*0.01)*(Tablo1[[#This Row],[Alkol]]*100)</f>
        <v>0</v>
      </c>
      <c r="O691" s="53">
        <f>(Tablo1[[#This Row],[KALAN ESANS]]/Tablo1[[#This Row],[Esans]]*0.01)*(Tablo1[[#This Row],[Su]]*100)</f>
        <v>0</v>
      </c>
      <c r="P691" s="53">
        <f>Tablo1[[#This Row],[KALAN ESANS]]+Tablo1[[#This Row],[ALKOL Mik]]+Tablo1[[#This Row],[SU Mik]]</f>
        <v>0</v>
      </c>
    </row>
    <row r="692" spans="1:16" ht="15" customHeight="1" x14ac:dyDescent="0.2">
      <c r="A692" s="20" t="s">
        <v>619</v>
      </c>
      <c r="B692" s="37"/>
      <c r="C692" s="3">
        <v>0.25</v>
      </c>
      <c r="D692" s="3">
        <v>0</v>
      </c>
      <c r="E692" s="9">
        <f t="shared" si="10"/>
        <v>0.75</v>
      </c>
      <c r="F692" s="6" t="s">
        <v>779</v>
      </c>
      <c r="G692" s="6" t="s">
        <v>770</v>
      </c>
      <c r="H692" s="59" t="e">
        <f>((Tablo1[[#This Row],[Esans Fiyat]]/#REF!*Tablo1[[#This Row],[Esans]]*100)+(#REF!/1000*Tablo1[[#This Row],[Su]]*100)+(#REF!/1000*Tablo1[[#This Row],[Alkol]]*100))*(#REF!/100)+#REF!</f>
        <v>#REF!</v>
      </c>
      <c r="I692" s="6" t="s">
        <v>776</v>
      </c>
      <c r="J692" s="53" t="e">
        <f>#REF!*Tablo1[[#This Row],[Esans]]</f>
        <v>#REF!</v>
      </c>
      <c r="K692" s="53" t="e">
        <f>#REF!*Tablo1[[#This Row],[Su]]</f>
        <v>#REF!</v>
      </c>
      <c r="L692" s="53" t="e">
        <f>#REF!*Tablo1[[#This Row],[Alkol]]</f>
        <v>#REF!</v>
      </c>
      <c r="M692" s="46"/>
      <c r="N692" s="53">
        <f>(Tablo1[[#This Row],[KALAN ESANS]]/Tablo1[[#This Row],[Esans]]*0.01)*(Tablo1[[#This Row],[Alkol]]*100)</f>
        <v>0</v>
      </c>
      <c r="O692" s="53">
        <f>(Tablo1[[#This Row],[KALAN ESANS]]/Tablo1[[#This Row],[Esans]]*0.01)*(Tablo1[[#This Row],[Su]]*100)</f>
        <v>0</v>
      </c>
      <c r="P692" s="53">
        <f>Tablo1[[#This Row],[KALAN ESANS]]+Tablo1[[#This Row],[ALKOL Mik]]+Tablo1[[#This Row],[SU Mik]]</f>
        <v>0</v>
      </c>
    </row>
    <row r="693" spans="1:16" ht="15" customHeight="1" x14ac:dyDescent="0.2">
      <c r="A693" s="20" t="s">
        <v>615</v>
      </c>
      <c r="B693" s="37"/>
      <c r="C693" s="3">
        <v>0.25</v>
      </c>
      <c r="D693" s="3">
        <v>0.02</v>
      </c>
      <c r="E693" s="9">
        <f t="shared" si="10"/>
        <v>0.73</v>
      </c>
      <c r="F693" s="6" t="s">
        <v>779</v>
      </c>
      <c r="G693" s="6" t="s">
        <v>770</v>
      </c>
      <c r="H693" s="59" t="e">
        <f>((Tablo1[[#This Row],[Esans Fiyat]]/#REF!*Tablo1[[#This Row],[Esans]]*100)+(#REF!/1000*Tablo1[[#This Row],[Su]]*100)+(#REF!/1000*Tablo1[[#This Row],[Alkol]]*100))*(#REF!/100)+#REF!</f>
        <v>#REF!</v>
      </c>
      <c r="I693" s="6" t="s">
        <v>776</v>
      </c>
      <c r="J693" s="53" t="e">
        <f>#REF!*Tablo1[[#This Row],[Esans]]</f>
        <v>#REF!</v>
      </c>
      <c r="K693" s="53" t="e">
        <f>#REF!*Tablo1[[#This Row],[Su]]</f>
        <v>#REF!</v>
      </c>
      <c r="L693" s="53" t="e">
        <f>#REF!*Tablo1[[#This Row],[Alkol]]</f>
        <v>#REF!</v>
      </c>
      <c r="M693" s="46"/>
      <c r="N693" s="53">
        <f>(Tablo1[[#This Row],[KALAN ESANS]]/Tablo1[[#This Row],[Esans]]*0.01)*(Tablo1[[#This Row],[Alkol]]*100)</f>
        <v>0</v>
      </c>
      <c r="O693" s="53">
        <f>(Tablo1[[#This Row],[KALAN ESANS]]/Tablo1[[#This Row],[Esans]]*0.01)*(Tablo1[[#This Row],[Su]]*100)</f>
        <v>0</v>
      </c>
      <c r="P693" s="53">
        <f>Tablo1[[#This Row],[KALAN ESANS]]+Tablo1[[#This Row],[ALKOL Mik]]+Tablo1[[#This Row],[SU Mik]]</f>
        <v>0</v>
      </c>
    </row>
    <row r="694" spans="1:16" ht="15" customHeight="1" x14ac:dyDescent="0.2">
      <c r="A694" s="20" t="s">
        <v>614</v>
      </c>
      <c r="B694" s="37"/>
      <c r="C694" s="3">
        <v>0.25</v>
      </c>
      <c r="D694" s="3">
        <v>0.02</v>
      </c>
      <c r="E694" s="9">
        <f t="shared" si="10"/>
        <v>0.73</v>
      </c>
      <c r="F694" s="6" t="s">
        <v>779</v>
      </c>
      <c r="G694" s="6" t="s">
        <v>770</v>
      </c>
      <c r="H694" s="59" t="e">
        <f>((Tablo1[[#This Row],[Esans Fiyat]]/#REF!*Tablo1[[#This Row],[Esans]]*100)+(#REF!/1000*Tablo1[[#This Row],[Su]]*100)+(#REF!/1000*Tablo1[[#This Row],[Alkol]]*100))*(#REF!/100)+#REF!</f>
        <v>#REF!</v>
      </c>
      <c r="I694" s="6" t="s">
        <v>776</v>
      </c>
      <c r="J694" s="53" t="e">
        <f>#REF!*Tablo1[[#This Row],[Esans]]</f>
        <v>#REF!</v>
      </c>
      <c r="K694" s="53" t="e">
        <f>#REF!*Tablo1[[#This Row],[Su]]</f>
        <v>#REF!</v>
      </c>
      <c r="L694" s="53" t="e">
        <f>#REF!*Tablo1[[#This Row],[Alkol]]</f>
        <v>#REF!</v>
      </c>
      <c r="M694" s="46"/>
      <c r="N694" s="53">
        <f>(Tablo1[[#This Row],[KALAN ESANS]]/Tablo1[[#This Row],[Esans]]*0.01)*(Tablo1[[#This Row],[Alkol]]*100)</f>
        <v>0</v>
      </c>
      <c r="O694" s="53">
        <f>(Tablo1[[#This Row],[KALAN ESANS]]/Tablo1[[#This Row],[Esans]]*0.01)*(Tablo1[[#This Row],[Su]]*100)</f>
        <v>0</v>
      </c>
      <c r="P694" s="53">
        <f>Tablo1[[#This Row],[KALAN ESANS]]+Tablo1[[#This Row],[ALKOL Mik]]+Tablo1[[#This Row],[SU Mik]]</f>
        <v>0</v>
      </c>
    </row>
    <row r="695" spans="1:16" ht="15" customHeight="1" x14ac:dyDescent="0.2">
      <c r="A695" s="20" t="s">
        <v>610</v>
      </c>
      <c r="B695" s="37"/>
      <c r="C695" s="3">
        <v>0.25</v>
      </c>
      <c r="D695" s="3">
        <v>0.02</v>
      </c>
      <c r="E695" s="9">
        <f t="shared" si="10"/>
        <v>0.73</v>
      </c>
      <c r="F695" s="6" t="s">
        <v>779</v>
      </c>
      <c r="G695" s="6" t="s">
        <v>770</v>
      </c>
      <c r="H695" s="59" t="e">
        <f>((Tablo1[[#This Row],[Esans Fiyat]]/#REF!*Tablo1[[#This Row],[Esans]]*100)+(#REF!/1000*Tablo1[[#This Row],[Su]]*100)+(#REF!/1000*Tablo1[[#This Row],[Alkol]]*100))*(#REF!/100)+#REF!</f>
        <v>#REF!</v>
      </c>
      <c r="I695" s="6" t="s">
        <v>776</v>
      </c>
      <c r="J695" s="53" t="e">
        <f>#REF!*Tablo1[[#This Row],[Esans]]</f>
        <v>#REF!</v>
      </c>
      <c r="K695" s="53" t="e">
        <f>#REF!*Tablo1[[#This Row],[Su]]</f>
        <v>#REF!</v>
      </c>
      <c r="L695" s="53" t="e">
        <f>#REF!*Tablo1[[#This Row],[Alkol]]</f>
        <v>#REF!</v>
      </c>
      <c r="M695" s="46"/>
      <c r="N695" s="53">
        <f>(Tablo1[[#This Row],[KALAN ESANS]]/Tablo1[[#This Row],[Esans]]*0.01)*(Tablo1[[#This Row],[Alkol]]*100)</f>
        <v>0</v>
      </c>
      <c r="O695" s="53">
        <f>(Tablo1[[#This Row],[KALAN ESANS]]/Tablo1[[#This Row],[Esans]]*0.01)*(Tablo1[[#This Row],[Su]]*100)</f>
        <v>0</v>
      </c>
      <c r="P695" s="53">
        <f>Tablo1[[#This Row],[KALAN ESANS]]+Tablo1[[#This Row],[ALKOL Mik]]+Tablo1[[#This Row],[SU Mik]]</f>
        <v>0</v>
      </c>
    </row>
    <row r="696" spans="1:16" ht="15" customHeight="1" x14ac:dyDescent="0.2">
      <c r="A696" s="20" t="s">
        <v>617</v>
      </c>
      <c r="B696" s="37"/>
      <c r="C696" s="3">
        <v>0.25</v>
      </c>
      <c r="D696" s="3">
        <v>0</v>
      </c>
      <c r="E696" s="9">
        <f t="shared" si="10"/>
        <v>0.75</v>
      </c>
      <c r="F696" s="6" t="s">
        <v>779</v>
      </c>
      <c r="G696" s="6" t="s">
        <v>770</v>
      </c>
      <c r="H696" s="59" t="e">
        <f>((Tablo1[[#This Row],[Esans Fiyat]]/#REF!*Tablo1[[#This Row],[Esans]]*100)+(#REF!/1000*Tablo1[[#This Row],[Su]]*100)+(#REF!/1000*Tablo1[[#This Row],[Alkol]]*100))*(#REF!/100)+#REF!</f>
        <v>#REF!</v>
      </c>
      <c r="I696" s="6" t="s">
        <v>776</v>
      </c>
      <c r="J696" s="53" t="e">
        <f>#REF!*Tablo1[[#This Row],[Esans]]</f>
        <v>#REF!</v>
      </c>
      <c r="K696" s="53" t="e">
        <f>#REF!*Tablo1[[#This Row],[Su]]</f>
        <v>#REF!</v>
      </c>
      <c r="L696" s="53" t="e">
        <f>#REF!*Tablo1[[#This Row],[Alkol]]</f>
        <v>#REF!</v>
      </c>
      <c r="M696" s="46"/>
      <c r="N696" s="53">
        <f>(Tablo1[[#This Row],[KALAN ESANS]]/Tablo1[[#This Row],[Esans]]*0.01)*(Tablo1[[#This Row],[Alkol]]*100)</f>
        <v>0</v>
      </c>
      <c r="O696" s="53">
        <f>(Tablo1[[#This Row],[KALAN ESANS]]/Tablo1[[#This Row],[Esans]]*0.01)*(Tablo1[[#This Row],[Su]]*100)</f>
        <v>0</v>
      </c>
      <c r="P696" s="53">
        <f>Tablo1[[#This Row],[KALAN ESANS]]+Tablo1[[#This Row],[ALKOL Mik]]+Tablo1[[#This Row],[SU Mik]]</f>
        <v>0</v>
      </c>
    </row>
    <row r="697" spans="1:16" ht="15" customHeight="1" x14ac:dyDescent="0.2">
      <c r="A697" s="20" t="s">
        <v>622</v>
      </c>
      <c r="B697" s="37"/>
      <c r="C697" s="3">
        <v>0.25</v>
      </c>
      <c r="D697" s="3">
        <v>0.02</v>
      </c>
      <c r="E697" s="9">
        <f t="shared" si="10"/>
        <v>0.73</v>
      </c>
      <c r="F697" s="6" t="s">
        <v>779</v>
      </c>
      <c r="G697" s="6" t="s">
        <v>770</v>
      </c>
      <c r="H697" s="59" t="e">
        <f>((Tablo1[[#This Row],[Esans Fiyat]]/#REF!*Tablo1[[#This Row],[Esans]]*100)+(#REF!/1000*Tablo1[[#This Row],[Su]]*100)+(#REF!/1000*Tablo1[[#This Row],[Alkol]]*100))*(#REF!/100)+#REF!</f>
        <v>#REF!</v>
      </c>
      <c r="I697" s="6" t="s">
        <v>776</v>
      </c>
      <c r="J697" s="53" t="e">
        <f>#REF!*Tablo1[[#This Row],[Esans]]</f>
        <v>#REF!</v>
      </c>
      <c r="K697" s="53" t="e">
        <f>#REF!*Tablo1[[#This Row],[Su]]</f>
        <v>#REF!</v>
      </c>
      <c r="L697" s="53" t="e">
        <f>#REF!*Tablo1[[#This Row],[Alkol]]</f>
        <v>#REF!</v>
      </c>
      <c r="M697" s="46"/>
      <c r="N697" s="53">
        <f>(Tablo1[[#This Row],[KALAN ESANS]]/Tablo1[[#This Row],[Esans]]*0.01)*(Tablo1[[#This Row],[Alkol]]*100)</f>
        <v>0</v>
      </c>
      <c r="O697" s="53">
        <f>(Tablo1[[#This Row],[KALAN ESANS]]/Tablo1[[#This Row],[Esans]]*0.01)*(Tablo1[[#This Row],[Su]]*100)</f>
        <v>0</v>
      </c>
      <c r="P697" s="53">
        <f>Tablo1[[#This Row],[KALAN ESANS]]+Tablo1[[#This Row],[ALKOL Mik]]+Tablo1[[#This Row],[SU Mik]]</f>
        <v>0</v>
      </c>
    </row>
    <row r="698" spans="1:16" ht="15" customHeight="1" x14ac:dyDescent="0.2">
      <c r="A698" s="20" t="s">
        <v>621</v>
      </c>
      <c r="B698" s="37"/>
      <c r="C698" s="3">
        <v>0.25</v>
      </c>
      <c r="D698" s="3">
        <v>0.02</v>
      </c>
      <c r="E698" s="9">
        <f t="shared" si="10"/>
        <v>0.73</v>
      </c>
      <c r="F698" s="6" t="s">
        <v>779</v>
      </c>
      <c r="G698" s="6" t="s">
        <v>770</v>
      </c>
      <c r="H698" s="59" t="e">
        <f>((Tablo1[[#This Row],[Esans Fiyat]]/#REF!*Tablo1[[#This Row],[Esans]]*100)+(#REF!/1000*Tablo1[[#This Row],[Su]]*100)+(#REF!/1000*Tablo1[[#This Row],[Alkol]]*100))*(#REF!/100)+#REF!</f>
        <v>#REF!</v>
      </c>
      <c r="I698" s="6" t="s">
        <v>776</v>
      </c>
      <c r="J698" s="53" t="e">
        <f>#REF!*Tablo1[[#This Row],[Esans]]</f>
        <v>#REF!</v>
      </c>
      <c r="K698" s="53" t="e">
        <f>#REF!*Tablo1[[#This Row],[Su]]</f>
        <v>#REF!</v>
      </c>
      <c r="L698" s="53" t="e">
        <f>#REF!*Tablo1[[#This Row],[Alkol]]</f>
        <v>#REF!</v>
      </c>
      <c r="M698" s="46"/>
      <c r="N698" s="53">
        <f>(Tablo1[[#This Row],[KALAN ESANS]]/Tablo1[[#This Row],[Esans]]*0.01)*(Tablo1[[#This Row],[Alkol]]*100)</f>
        <v>0</v>
      </c>
      <c r="O698" s="53">
        <f>(Tablo1[[#This Row],[KALAN ESANS]]/Tablo1[[#This Row],[Esans]]*0.01)*(Tablo1[[#This Row],[Su]]*100)</f>
        <v>0</v>
      </c>
      <c r="P698" s="53">
        <f>Tablo1[[#This Row],[KALAN ESANS]]+Tablo1[[#This Row],[ALKOL Mik]]+Tablo1[[#This Row],[SU Mik]]</f>
        <v>0</v>
      </c>
    </row>
    <row r="699" spans="1:16" ht="15" customHeight="1" x14ac:dyDescent="0.2">
      <c r="A699" s="20" t="s">
        <v>612</v>
      </c>
      <c r="B699" s="37"/>
      <c r="C699" s="3">
        <v>0.25</v>
      </c>
      <c r="D699" s="3">
        <v>0.02</v>
      </c>
      <c r="E699" s="9">
        <f t="shared" si="10"/>
        <v>0.73</v>
      </c>
      <c r="F699" s="6" t="s">
        <v>779</v>
      </c>
      <c r="G699" s="6" t="s">
        <v>770</v>
      </c>
      <c r="H699" s="59" t="e">
        <f>((Tablo1[[#This Row],[Esans Fiyat]]/#REF!*Tablo1[[#This Row],[Esans]]*100)+(#REF!/1000*Tablo1[[#This Row],[Su]]*100)+(#REF!/1000*Tablo1[[#This Row],[Alkol]]*100))*(#REF!/100)+#REF!</f>
        <v>#REF!</v>
      </c>
      <c r="I699" s="6" t="s">
        <v>776</v>
      </c>
      <c r="J699" s="53" t="e">
        <f>#REF!*Tablo1[[#This Row],[Esans]]</f>
        <v>#REF!</v>
      </c>
      <c r="K699" s="53" t="e">
        <f>#REF!*Tablo1[[#This Row],[Su]]</f>
        <v>#REF!</v>
      </c>
      <c r="L699" s="53" t="e">
        <f>#REF!*Tablo1[[#This Row],[Alkol]]</f>
        <v>#REF!</v>
      </c>
      <c r="M699" s="46"/>
      <c r="N699" s="53">
        <f>(Tablo1[[#This Row],[KALAN ESANS]]/Tablo1[[#This Row],[Esans]]*0.01)*(Tablo1[[#This Row],[Alkol]]*100)</f>
        <v>0</v>
      </c>
      <c r="O699" s="53">
        <f>(Tablo1[[#This Row],[KALAN ESANS]]/Tablo1[[#This Row],[Esans]]*0.01)*(Tablo1[[#This Row],[Su]]*100)</f>
        <v>0</v>
      </c>
      <c r="P699" s="53">
        <f>Tablo1[[#This Row],[KALAN ESANS]]+Tablo1[[#This Row],[ALKOL Mik]]+Tablo1[[#This Row],[SU Mik]]</f>
        <v>0</v>
      </c>
    </row>
    <row r="700" spans="1:16" ht="15" customHeight="1" x14ac:dyDescent="0.2">
      <c r="A700" s="20" t="s">
        <v>620</v>
      </c>
      <c r="B700" s="37"/>
      <c r="C700" s="3">
        <v>0.25</v>
      </c>
      <c r="D700" s="3">
        <v>0</v>
      </c>
      <c r="E700" s="9">
        <f t="shared" si="10"/>
        <v>0.75</v>
      </c>
      <c r="F700" s="6" t="s">
        <v>779</v>
      </c>
      <c r="G700" s="6" t="s">
        <v>770</v>
      </c>
      <c r="H700" s="59" t="e">
        <f>((Tablo1[[#This Row],[Esans Fiyat]]/#REF!*Tablo1[[#This Row],[Esans]]*100)+(#REF!/1000*Tablo1[[#This Row],[Su]]*100)+(#REF!/1000*Tablo1[[#This Row],[Alkol]]*100))*(#REF!/100)+#REF!</f>
        <v>#REF!</v>
      </c>
      <c r="I700" s="6" t="s">
        <v>776</v>
      </c>
      <c r="J700" s="53" t="e">
        <f>#REF!*Tablo1[[#This Row],[Esans]]</f>
        <v>#REF!</v>
      </c>
      <c r="K700" s="53" t="e">
        <f>#REF!*Tablo1[[#This Row],[Su]]</f>
        <v>#REF!</v>
      </c>
      <c r="L700" s="53" t="e">
        <f>#REF!*Tablo1[[#This Row],[Alkol]]</f>
        <v>#REF!</v>
      </c>
      <c r="M700" s="46"/>
      <c r="N700" s="53">
        <f>(Tablo1[[#This Row],[KALAN ESANS]]/Tablo1[[#This Row],[Esans]]*0.01)*(Tablo1[[#This Row],[Alkol]]*100)</f>
        <v>0</v>
      </c>
      <c r="O700" s="53">
        <f>(Tablo1[[#This Row],[KALAN ESANS]]/Tablo1[[#This Row],[Esans]]*0.01)*(Tablo1[[#This Row],[Su]]*100)</f>
        <v>0</v>
      </c>
      <c r="P700" s="53">
        <f>Tablo1[[#This Row],[KALAN ESANS]]+Tablo1[[#This Row],[ALKOL Mik]]+Tablo1[[#This Row],[SU Mik]]</f>
        <v>0</v>
      </c>
    </row>
    <row r="701" spans="1:16" ht="15" customHeight="1" x14ac:dyDescent="0.2">
      <c r="A701" s="20" t="s">
        <v>571</v>
      </c>
      <c r="B701" s="37"/>
      <c r="C701" s="3">
        <v>0.15</v>
      </c>
      <c r="D701" s="3">
        <v>0.02</v>
      </c>
      <c r="E701" s="9">
        <f t="shared" si="10"/>
        <v>0.83</v>
      </c>
      <c r="F701" s="6" t="s">
        <v>25</v>
      </c>
      <c r="G701" s="6" t="s">
        <v>770</v>
      </c>
      <c r="H701" s="59" t="e">
        <f>((Tablo1[[#This Row],[Esans Fiyat]]/#REF!*Tablo1[[#This Row],[Esans]]*100)+(#REF!/1000*Tablo1[[#This Row],[Su]]*100)+(#REF!/1000*Tablo1[[#This Row],[Alkol]]*100))*(#REF!/100)+#REF!</f>
        <v>#REF!</v>
      </c>
      <c r="I701" s="6" t="s">
        <v>772</v>
      </c>
      <c r="J701" s="53" t="e">
        <f>#REF!*Tablo1[[#This Row],[Esans]]</f>
        <v>#REF!</v>
      </c>
      <c r="K701" s="53" t="e">
        <f>#REF!*Tablo1[[#This Row],[Su]]</f>
        <v>#REF!</v>
      </c>
      <c r="L701" s="53" t="e">
        <f>#REF!*Tablo1[[#This Row],[Alkol]]</f>
        <v>#REF!</v>
      </c>
      <c r="M701" s="46"/>
      <c r="N701" s="53">
        <f>(Tablo1[[#This Row],[KALAN ESANS]]/Tablo1[[#This Row],[Esans]]*0.01)*(Tablo1[[#This Row],[Alkol]]*100)</f>
        <v>0</v>
      </c>
      <c r="O701" s="53">
        <f>(Tablo1[[#This Row],[KALAN ESANS]]/Tablo1[[#This Row],[Esans]]*0.01)*(Tablo1[[#This Row],[Su]]*100)</f>
        <v>0</v>
      </c>
      <c r="P701" s="53">
        <f>Tablo1[[#This Row],[KALAN ESANS]]+Tablo1[[#This Row],[ALKOL Mik]]+Tablo1[[#This Row],[SU Mik]]</f>
        <v>0</v>
      </c>
    </row>
    <row r="702" spans="1:16" ht="15" customHeight="1" x14ac:dyDescent="0.2">
      <c r="A702" s="20" t="s">
        <v>570</v>
      </c>
      <c r="B702" s="37"/>
      <c r="C702" s="3">
        <v>0.2</v>
      </c>
      <c r="D702" s="3">
        <v>0.02</v>
      </c>
      <c r="E702" s="9">
        <f t="shared" si="10"/>
        <v>0.78</v>
      </c>
      <c r="F702" s="6" t="s">
        <v>25</v>
      </c>
      <c r="G702" s="6" t="s">
        <v>770</v>
      </c>
      <c r="H702" s="59" t="e">
        <f>((Tablo1[[#This Row],[Esans Fiyat]]/#REF!*Tablo1[[#This Row],[Esans]]*100)+(#REF!/1000*Tablo1[[#This Row],[Su]]*100)+(#REF!/1000*Tablo1[[#This Row],[Alkol]]*100))*(#REF!/100)+#REF!</f>
        <v>#REF!</v>
      </c>
      <c r="I702" s="6" t="s">
        <v>776</v>
      </c>
      <c r="J702" s="53" t="e">
        <f>#REF!*Tablo1[[#This Row],[Esans]]</f>
        <v>#REF!</v>
      </c>
      <c r="K702" s="53" t="e">
        <f>#REF!*Tablo1[[#This Row],[Su]]</f>
        <v>#REF!</v>
      </c>
      <c r="L702" s="53" t="e">
        <f>#REF!*Tablo1[[#This Row],[Alkol]]</f>
        <v>#REF!</v>
      </c>
      <c r="M702" s="46"/>
      <c r="N702" s="53">
        <f>(Tablo1[[#This Row],[KALAN ESANS]]/Tablo1[[#This Row],[Esans]]*0.01)*(Tablo1[[#This Row],[Alkol]]*100)</f>
        <v>0</v>
      </c>
      <c r="O702" s="53">
        <f>(Tablo1[[#This Row],[KALAN ESANS]]/Tablo1[[#This Row],[Esans]]*0.01)*(Tablo1[[#This Row],[Su]]*100)</f>
        <v>0</v>
      </c>
      <c r="P702" s="53">
        <f>Tablo1[[#This Row],[KALAN ESANS]]+Tablo1[[#This Row],[ALKOL Mik]]+Tablo1[[#This Row],[SU Mik]]</f>
        <v>0</v>
      </c>
    </row>
    <row r="703" spans="1:16" ht="15" customHeight="1" x14ac:dyDescent="0.2">
      <c r="A703" s="20" t="s">
        <v>604</v>
      </c>
      <c r="B703" s="37"/>
      <c r="C703" s="3">
        <v>0.2</v>
      </c>
      <c r="D703" s="3">
        <v>0.02</v>
      </c>
      <c r="E703" s="9">
        <f t="shared" si="10"/>
        <v>0.78</v>
      </c>
      <c r="F703" s="6" t="s">
        <v>25</v>
      </c>
      <c r="G703" s="6" t="s">
        <v>770</v>
      </c>
      <c r="H703" s="59" t="e">
        <f>((Tablo1[[#This Row],[Esans Fiyat]]/#REF!*Tablo1[[#This Row],[Esans]]*100)+(#REF!/1000*Tablo1[[#This Row],[Su]]*100)+(#REF!/1000*Tablo1[[#This Row],[Alkol]]*100))*(#REF!/100)+#REF!</f>
        <v>#REF!</v>
      </c>
      <c r="I703" s="6" t="s">
        <v>776</v>
      </c>
      <c r="J703" s="53" t="e">
        <f>#REF!*Tablo1[[#This Row],[Esans]]</f>
        <v>#REF!</v>
      </c>
      <c r="K703" s="53" t="e">
        <f>#REF!*Tablo1[[#This Row],[Su]]</f>
        <v>#REF!</v>
      </c>
      <c r="L703" s="53" t="e">
        <f>#REF!*Tablo1[[#This Row],[Alkol]]</f>
        <v>#REF!</v>
      </c>
      <c r="M703" s="46"/>
      <c r="N703" s="53">
        <f>(Tablo1[[#This Row],[KALAN ESANS]]/Tablo1[[#This Row],[Esans]]*0.01)*(Tablo1[[#This Row],[Alkol]]*100)</f>
        <v>0</v>
      </c>
      <c r="O703" s="53">
        <f>(Tablo1[[#This Row],[KALAN ESANS]]/Tablo1[[#This Row],[Esans]]*0.01)*(Tablo1[[#This Row],[Su]]*100)</f>
        <v>0</v>
      </c>
      <c r="P703" s="53">
        <f>Tablo1[[#This Row],[KALAN ESANS]]+Tablo1[[#This Row],[ALKOL Mik]]+Tablo1[[#This Row],[SU Mik]]</f>
        <v>0</v>
      </c>
    </row>
    <row r="704" spans="1:16" ht="15" customHeight="1" x14ac:dyDescent="0.2">
      <c r="A704" s="20" t="s">
        <v>580</v>
      </c>
      <c r="B704" s="37"/>
      <c r="C704" s="3">
        <v>0.2</v>
      </c>
      <c r="D704" s="3">
        <v>0.02</v>
      </c>
      <c r="E704" s="9">
        <f t="shared" si="10"/>
        <v>0.78</v>
      </c>
      <c r="F704" s="6" t="s">
        <v>25</v>
      </c>
      <c r="G704" s="6" t="s">
        <v>770</v>
      </c>
      <c r="H704" s="59" t="e">
        <f>((Tablo1[[#This Row],[Esans Fiyat]]/#REF!*Tablo1[[#This Row],[Esans]]*100)+(#REF!/1000*Tablo1[[#This Row],[Su]]*100)+(#REF!/1000*Tablo1[[#This Row],[Alkol]]*100))*(#REF!/100)+#REF!</f>
        <v>#REF!</v>
      </c>
      <c r="I704" s="6" t="s">
        <v>772</v>
      </c>
      <c r="J704" s="53" t="e">
        <f>#REF!*Tablo1[[#This Row],[Esans]]</f>
        <v>#REF!</v>
      </c>
      <c r="K704" s="53" t="e">
        <f>#REF!*Tablo1[[#This Row],[Su]]</f>
        <v>#REF!</v>
      </c>
      <c r="L704" s="53" t="e">
        <f>#REF!*Tablo1[[#This Row],[Alkol]]</f>
        <v>#REF!</v>
      </c>
      <c r="M704" s="46"/>
      <c r="N704" s="53">
        <f>(Tablo1[[#This Row],[KALAN ESANS]]/Tablo1[[#This Row],[Esans]]*0.01)*(Tablo1[[#This Row],[Alkol]]*100)</f>
        <v>0</v>
      </c>
      <c r="O704" s="53">
        <f>(Tablo1[[#This Row],[KALAN ESANS]]/Tablo1[[#This Row],[Esans]]*0.01)*(Tablo1[[#This Row],[Su]]*100)</f>
        <v>0</v>
      </c>
      <c r="P704" s="53">
        <f>Tablo1[[#This Row],[KALAN ESANS]]+Tablo1[[#This Row],[ALKOL Mik]]+Tablo1[[#This Row],[SU Mik]]</f>
        <v>0</v>
      </c>
    </row>
    <row r="705" spans="1:16" ht="15" customHeight="1" x14ac:dyDescent="0.2">
      <c r="A705" s="20" t="s">
        <v>569</v>
      </c>
      <c r="B705" s="37"/>
      <c r="C705" s="3">
        <v>0.22</v>
      </c>
      <c r="D705" s="3">
        <v>0.01</v>
      </c>
      <c r="E705" s="9">
        <f t="shared" si="10"/>
        <v>0.77</v>
      </c>
      <c r="F705" s="6" t="s">
        <v>25</v>
      </c>
      <c r="G705" s="6" t="s">
        <v>770</v>
      </c>
      <c r="H705" s="59" t="e">
        <f>((Tablo1[[#This Row],[Esans Fiyat]]/#REF!*Tablo1[[#This Row],[Esans]]*100)+(#REF!/1000*Tablo1[[#This Row],[Su]]*100)+(#REF!/1000*Tablo1[[#This Row],[Alkol]]*100))*(#REF!/100)+#REF!</f>
        <v>#REF!</v>
      </c>
      <c r="I705" s="6" t="s">
        <v>782</v>
      </c>
      <c r="J705" s="53" t="e">
        <f>#REF!*Tablo1[[#This Row],[Esans]]</f>
        <v>#REF!</v>
      </c>
      <c r="K705" s="53" t="e">
        <f>#REF!*Tablo1[[#This Row],[Su]]</f>
        <v>#REF!</v>
      </c>
      <c r="L705" s="53" t="e">
        <f>#REF!*Tablo1[[#This Row],[Alkol]]</f>
        <v>#REF!</v>
      </c>
      <c r="M705" s="46"/>
      <c r="N705" s="53">
        <f>(Tablo1[[#This Row],[KALAN ESANS]]/Tablo1[[#This Row],[Esans]]*0.01)*(Tablo1[[#This Row],[Alkol]]*100)</f>
        <v>0</v>
      </c>
      <c r="O705" s="53">
        <f>(Tablo1[[#This Row],[KALAN ESANS]]/Tablo1[[#This Row],[Esans]]*0.01)*(Tablo1[[#This Row],[Su]]*100)</f>
        <v>0</v>
      </c>
      <c r="P705" s="53">
        <f>Tablo1[[#This Row],[KALAN ESANS]]+Tablo1[[#This Row],[ALKOL Mik]]+Tablo1[[#This Row],[SU Mik]]</f>
        <v>0</v>
      </c>
    </row>
    <row r="706" spans="1:16" ht="15" customHeight="1" x14ac:dyDescent="0.2">
      <c r="A706" s="20" t="s">
        <v>598</v>
      </c>
      <c r="B706" s="37"/>
      <c r="C706" s="3">
        <v>0.17</v>
      </c>
      <c r="D706" s="3">
        <v>0.02</v>
      </c>
      <c r="E706" s="9">
        <f t="shared" si="10"/>
        <v>0.80999999999999994</v>
      </c>
      <c r="F706" s="6" t="s">
        <v>25</v>
      </c>
      <c r="G706" s="6" t="s">
        <v>770</v>
      </c>
      <c r="H706" s="59" t="e">
        <f>((Tablo1[[#This Row],[Esans Fiyat]]/#REF!*Tablo1[[#This Row],[Esans]]*100)+(#REF!/1000*Tablo1[[#This Row],[Su]]*100)+(#REF!/1000*Tablo1[[#This Row],[Alkol]]*100))*(#REF!/100)+#REF!</f>
        <v>#REF!</v>
      </c>
      <c r="I706" s="6" t="s">
        <v>772</v>
      </c>
      <c r="J706" s="53" t="e">
        <f>#REF!*Tablo1[[#This Row],[Esans]]</f>
        <v>#REF!</v>
      </c>
      <c r="K706" s="53" t="e">
        <f>#REF!*Tablo1[[#This Row],[Su]]</f>
        <v>#REF!</v>
      </c>
      <c r="L706" s="53" t="e">
        <f>#REF!*Tablo1[[#This Row],[Alkol]]</f>
        <v>#REF!</v>
      </c>
      <c r="M706" s="46"/>
      <c r="N706" s="53">
        <f>(Tablo1[[#This Row],[KALAN ESANS]]/Tablo1[[#This Row],[Esans]]*0.01)*(Tablo1[[#This Row],[Alkol]]*100)</f>
        <v>0</v>
      </c>
      <c r="O706" s="53">
        <f>(Tablo1[[#This Row],[KALAN ESANS]]/Tablo1[[#This Row],[Esans]]*0.01)*(Tablo1[[#This Row],[Su]]*100)</f>
        <v>0</v>
      </c>
      <c r="P706" s="53">
        <f>Tablo1[[#This Row],[KALAN ESANS]]+Tablo1[[#This Row],[ALKOL Mik]]+Tablo1[[#This Row],[SU Mik]]</f>
        <v>0</v>
      </c>
    </row>
    <row r="707" spans="1:16" ht="15" customHeight="1" x14ac:dyDescent="0.2">
      <c r="A707" s="20" t="s">
        <v>600</v>
      </c>
      <c r="B707" s="37"/>
      <c r="C707" s="3">
        <v>0.2</v>
      </c>
      <c r="D707" s="3">
        <v>0.02</v>
      </c>
      <c r="E707" s="9">
        <f t="shared" si="10"/>
        <v>0.78</v>
      </c>
      <c r="F707" s="6" t="s">
        <v>25</v>
      </c>
      <c r="G707" s="6" t="s">
        <v>770</v>
      </c>
      <c r="H707" s="59" t="e">
        <f>((Tablo1[[#This Row],[Esans Fiyat]]/#REF!*Tablo1[[#This Row],[Esans]]*100)+(#REF!/1000*Tablo1[[#This Row],[Su]]*100)+(#REF!/1000*Tablo1[[#This Row],[Alkol]]*100))*(#REF!/100)+#REF!</f>
        <v>#REF!</v>
      </c>
      <c r="I707" s="6" t="s">
        <v>776</v>
      </c>
      <c r="J707" s="53" t="e">
        <f>#REF!*Tablo1[[#This Row],[Esans]]</f>
        <v>#REF!</v>
      </c>
      <c r="K707" s="53" t="e">
        <f>#REF!*Tablo1[[#This Row],[Su]]</f>
        <v>#REF!</v>
      </c>
      <c r="L707" s="53" t="e">
        <f>#REF!*Tablo1[[#This Row],[Alkol]]</f>
        <v>#REF!</v>
      </c>
      <c r="M707" s="46"/>
      <c r="N707" s="53">
        <f>(Tablo1[[#This Row],[KALAN ESANS]]/Tablo1[[#This Row],[Esans]]*0.01)*(Tablo1[[#This Row],[Alkol]]*100)</f>
        <v>0</v>
      </c>
      <c r="O707" s="53">
        <f>(Tablo1[[#This Row],[KALAN ESANS]]/Tablo1[[#This Row],[Esans]]*0.01)*(Tablo1[[#This Row],[Su]]*100)</f>
        <v>0</v>
      </c>
      <c r="P707" s="53">
        <f>Tablo1[[#This Row],[KALAN ESANS]]+Tablo1[[#This Row],[ALKOL Mik]]+Tablo1[[#This Row],[SU Mik]]</f>
        <v>0</v>
      </c>
    </row>
    <row r="708" spans="1:16" ht="15" customHeight="1" x14ac:dyDescent="0.2">
      <c r="A708" s="20" t="s">
        <v>599</v>
      </c>
      <c r="B708" s="37"/>
      <c r="C708" s="3">
        <v>0.17</v>
      </c>
      <c r="D708" s="3">
        <v>0.02</v>
      </c>
      <c r="E708" s="9">
        <f t="shared" ref="E708:E761" si="11">1-D708-C708</f>
        <v>0.80999999999999994</v>
      </c>
      <c r="F708" s="6" t="s">
        <v>25</v>
      </c>
      <c r="G708" s="6" t="s">
        <v>770</v>
      </c>
      <c r="H708" s="59" t="e">
        <f>((Tablo1[[#This Row],[Esans Fiyat]]/#REF!*Tablo1[[#This Row],[Esans]]*100)+(#REF!/1000*Tablo1[[#This Row],[Su]]*100)+(#REF!/1000*Tablo1[[#This Row],[Alkol]]*100))*(#REF!/100)+#REF!</f>
        <v>#REF!</v>
      </c>
      <c r="I708" s="6" t="s">
        <v>772</v>
      </c>
      <c r="J708" s="53" t="e">
        <f>#REF!*Tablo1[[#This Row],[Esans]]</f>
        <v>#REF!</v>
      </c>
      <c r="K708" s="53" t="e">
        <f>#REF!*Tablo1[[#This Row],[Su]]</f>
        <v>#REF!</v>
      </c>
      <c r="L708" s="53" t="e">
        <f>#REF!*Tablo1[[#This Row],[Alkol]]</f>
        <v>#REF!</v>
      </c>
      <c r="M708" s="46"/>
      <c r="N708" s="53">
        <f>(Tablo1[[#This Row],[KALAN ESANS]]/Tablo1[[#This Row],[Esans]]*0.01)*(Tablo1[[#This Row],[Alkol]]*100)</f>
        <v>0</v>
      </c>
      <c r="O708" s="53">
        <f>(Tablo1[[#This Row],[KALAN ESANS]]/Tablo1[[#This Row],[Esans]]*0.01)*(Tablo1[[#This Row],[Su]]*100)</f>
        <v>0</v>
      </c>
      <c r="P708" s="53">
        <f>Tablo1[[#This Row],[KALAN ESANS]]+Tablo1[[#This Row],[ALKOL Mik]]+Tablo1[[#This Row],[SU Mik]]</f>
        <v>0</v>
      </c>
    </row>
    <row r="709" spans="1:16" ht="15" customHeight="1" x14ac:dyDescent="0.2">
      <c r="A709" s="20" t="s">
        <v>582</v>
      </c>
      <c r="B709" s="37"/>
      <c r="C709" s="3">
        <v>0.2</v>
      </c>
      <c r="D709" s="3">
        <v>0</v>
      </c>
      <c r="E709" s="9">
        <f t="shared" si="11"/>
        <v>0.8</v>
      </c>
      <c r="F709" s="6" t="s">
        <v>25</v>
      </c>
      <c r="G709" s="6" t="s">
        <v>770</v>
      </c>
      <c r="H709" s="59" t="e">
        <f>((Tablo1[[#This Row],[Esans Fiyat]]/#REF!*Tablo1[[#This Row],[Esans]]*100)+(#REF!/1000*Tablo1[[#This Row],[Su]]*100)+(#REF!/1000*Tablo1[[#This Row],[Alkol]]*100))*(#REF!/100)+#REF!</f>
        <v>#REF!</v>
      </c>
      <c r="I709" s="6" t="s">
        <v>772</v>
      </c>
      <c r="J709" s="53" t="e">
        <f>#REF!*Tablo1[[#This Row],[Esans]]</f>
        <v>#REF!</v>
      </c>
      <c r="K709" s="53" t="e">
        <f>#REF!*Tablo1[[#This Row],[Su]]</f>
        <v>#REF!</v>
      </c>
      <c r="L709" s="53" t="e">
        <f>#REF!*Tablo1[[#This Row],[Alkol]]</f>
        <v>#REF!</v>
      </c>
      <c r="M709" s="46"/>
      <c r="N709" s="53">
        <f>(Tablo1[[#This Row],[KALAN ESANS]]/Tablo1[[#This Row],[Esans]]*0.01)*(Tablo1[[#This Row],[Alkol]]*100)</f>
        <v>0</v>
      </c>
      <c r="O709" s="53">
        <f>(Tablo1[[#This Row],[KALAN ESANS]]/Tablo1[[#This Row],[Esans]]*0.01)*(Tablo1[[#This Row],[Su]]*100)</f>
        <v>0</v>
      </c>
      <c r="P709" s="53">
        <f>Tablo1[[#This Row],[KALAN ESANS]]+Tablo1[[#This Row],[ALKOL Mik]]+Tablo1[[#This Row],[SU Mik]]</f>
        <v>0</v>
      </c>
    </row>
    <row r="710" spans="1:16" ht="15" customHeight="1" x14ac:dyDescent="0.2">
      <c r="A710" s="20" t="s">
        <v>586</v>
      </c>
      <c r="B710" s="37"/>
      <c r="C710" s="3">
        <v>0.22</v>
      </c>
      <c r="D710" s="3">
        <v>0.02</v>
      </c>
      <c r="E710" s="9">
        <f t="shared" si="11"/>
        <v>0.76</v>
      </c>
      <c r="F710" s="6" t="s">
        <v>25</v>
      </c>
      <c r="G710" s="6" t="s">
        <v>770</v>
      </c>
      <c r="H710" s="59" t="e">
        <f>((Tablo1[[#This Row],[Esans Fiyat]]/#REF!*Tablo1[[#This Row],[Esans]]*100)+(#REF!/1000*Tablo1[[#This Row],[Su]]*100)+(#REF!/1000*Tablo1[[#This Row],[Alkol]]*100))*(#REF!/100)+#REF!</f>
        <v>#REF!</v>
      </c>
      <c r="I710" s="6" t="s">
        <v>772</v>
      </c>
      <c r="J710" s="53" t="e">
        <f>#REF!*Tablo1[[#This Row],[Esans]]</f>
        <v>#REF!</v>
      </c>
      <c r="K710" s="53" t="e">
        <f>#REF!*Tablo1[[#This Row],[Su]]</f>
        <v>#REF!</v>
      </c>
      <c r="L710" s="53" t="e">
        <f>#REF!*Tablo1[[#This Row],[Alkol]]</f>
        <v>#REF!</v>
      </c>
      <c r="M710" s="46"/>
      <c r="N710" s="53">
        <f>(Tablo1[[#This Row],[KALAN ESANS]]/Tablo1[[#This Row],[Esans]]*0.01)*(Tablo1[[#This Row],[Alkol]]*100)</f>
        <v>0</v>
      </c>
      <c r="O710" s="53">
        <f>(Tablo1[[#This Row],[KALAN ESANS]]/Tablo1[[#This Row],[Esans]]*0.01)*(Tablo1[[#This Row],[Su]]*100)</f>
        <v>0</v>
      </c>
      <c r="P710" s="53">
        <f>Tablo1[[#This Row],[KALAN ESANS]]+Tablo1[[#This Row],[ALKOL Mik]]+Tablo1[[#This Row],[SU Mik]]</f>
        <v>0</v>
      </c>
    </row>
    <row r="711" spans="1:16" ht="15" customHeight="1" x14ac:dyDescent="0.2">
      <c r="A711" s="20" t="s">
        <v>585</v>
      </c>
      <c r="B711" s="37"/>
      <c r="C711" s="3">
        <v>0.15</v>
      </c>
      <c r="D711" s="3">
        <v>0</v>
      </c>
      <c r="E711" s="9">
        <f t="shared" si="11"/>
        <v>0.85</v>
      </c>
      <c r="F711" s="6" t="s">
        <v>25</v>
      </c>
      <c r="G711" s="6" t="s">
        <v>770</v>
      </c>
      <c r="H711" s="59" t="e">
        <f>((Tablo1[[#This Row],[Esans Fiyat]]/#REF!*Tablo1[[#This Row],[Esans]]*100)+(#REF!/1000*Tablo1[[#This Row],[Su]]*100)+(#REF!/1000*Tablo1[[#This Row],[Alkol]]*100))*(#REF!/100)+#REF!</f>
        <v>#REF!</v>
      </c>
      <c r="I711" s="6" t="s">
        <v>772</v>
      </c>
      <c r="J711" s="53" t="e">
        <f>#REF!*Tablo1[[#This Row],[Esans]]</f>
        <v>#REF!</v>
      </c>
      <c r="K711" s="53" t="e">
        <f>#REF!*Tablo1[[#This Row],[Su]]</f>
        <v>#REF!</v>
      </c>
      <c r="L711" s="53" t="e">
        <f>#REF!*Tablo1[[#This Row],[Alkol]]</f>
        <v>#REF!</v>
      </c>
      <c r="M711" s="46"/>
      <c r="N711" s="53">
        <f>(Tablo1[[#This Row],[KALAN ESANS]]/Tablo1[[#This Row],[Esans]]*0.01)*(Tablo1[[#This Row],[Alkol]]*100)</f>
        <v>0</v>
      </c>
      <c r="O711" s="53">
        <f>(Tablo1[[#This Row],[KALAN ESANS]]/Tablo1[[#This Row],[Esans]]*0.01)*(Tablo1[[#This Row],[Su]]*100)</f>
        <v>0</v>
      </c>
      <c r="P711" s="53">
        <f>Tablo1[[#This Row],[KALAN ESANS]]+Tablo1[[#This Row],[ALKOL Mik]]+Tablo1[[#This Row],[SU Mik]]</f>
        <v>0</v>
      </c>
    </row>
    <row r="712" spans="1:16" ht="15" customHeight="1" x14ac:dyDescent="0.2">
      <c r="A712" s="20" t="s">
        <v>607</v>
      </c>
      <c r="B712" s="37"/>
      <c r="C712" s="3">
        <v>0.2</v>
      </c>
      <c r="D712" s="3">
        <v>0.02</v>
      </c>
      <c r="E712" s="9">
        <f t="shared" si="11"/>
        <v>0.78</v>
      </c>
      <c r="F712" s="6" t="s">
        <v>25</v>
      </c>
      <c r="G712" s="6" t="s">
        <v>770</v>
      </c>
      <c r="H712" s="59" t="e">
        <f>((Tablo1[[#This Row],[Esans Fiyat]]/#REF!*Tablo1[[#This Row],[Esans]]*100)+(#REF!/1000*Tablo1[[#This Row],[Su]]*100)+(#REF!/1000*Tablo1[[#This Row],[Alkol]]*100))*(#REF!/100)+#REF!</f>
        <v>#REF!</v>
      </c>
      <c r="I712" s="6" t="s">
        <v>772</v>
      </c>
      <c r="J712" s="53" t="e">
        <f>#REF!*Tablo1[[#This Row],[Esans]]</f>
        <v>#REF!</v>
      </c>
      <c r="K712" s="53" t="e">
        <f>#REF!*Tablo1[[#This Row],[Su]]</f>
        <v>#REF!</v>
      </c>
      <c r="L712" s="53" t="e">
        <f>#REF!*Tablo1[[#This Row],[Alkol]]</f>
        <v>#REF!</v>
      </c>
      <c r="M712" s="46"/>
      <c r="N712" s="53">
        <f>(Tablo1[[#This Row],[KALAN ESANS]]/Tablo1[[#This Row],[Esans]]*0.01)*(Tablo1[[#This Row],[Alkol]]*100)</f>
        <v>0</v>
      </c>
      <c r="O712" s="53">
        <f>(Tablo1[[#This Row],[KALAN ESANS]]/Tablo1[[#This Row],[Esans]]*0.01)*(Tablo1[[#This Row],[Su]]*100)</f>
        <v>0</v>
      </c>
      <c r="P712" s="53">
        <f>Tablo1[[#This Row],[KALAN ESANS]]+Tablo1[[#This Row],[ALKOL Mik]]+Tablo1[[#This Row],[SU Mik]]</f>
        <v>0</v>
      </c>
    </row>
    <row r="713" spans="1:16" ht="15" customHeight="1" x14ac:dyDescent="0.2">
      <c r="A713" s="20" t="s">
        <v>597</v>
      </c>
      <c r="B713" s="37"/>
      <c r="C713" s="3">
        <v>0.25</v>
      </c>
      <c r="D713" s="3">
        <v>0</v>
      </c>
      <c r="E713" s="9">
        <f t="shared" si="11"/>
        <v>0.75</v>
      </c>
      <c r="F713" s="6" t="s">
        <v>25</v>
      </c>
      <c r="G713" s="6" t="s">
        <v>770</v>
      </c>
      <c r="H713" s="59" t="e">
        <f>((Tablo1[[#This Row],[Esans Fiyat]]/#REF!*Tablo1[[#This Row],[Esans]]*100)+(#REF!/1000*Tablo1[[#This Row],[Su]]*100)+(#REF!/1000*Tablo1[[#This Row],[Alkol]]*100))*(#REF!/100)+#REF!</f>
        <v>#REF!</v>
      </c>
      <c r="I713" s="6" t="s">
        <v>772</v>
      </c>
      <c r="J713" s="53" t="e">
        <f>#REF!*Tablo1[[#This Row],[Esans]]</f>
        <v>#REF!</v>
      </c>
      <c r="K713" s="53" t="e">
        <f>#REF!*Tablo1[[#This Row],[Su]]</f>
        <v>#REF!</v>
      </c>
      <c r="L713" s="53" t="e">
        <f>#REF!*Tablo1[[#This Row],[Alkol]]</f>
        <v>#REF!</v>
      </c>
      <c r="M713" s="46"/>
      <c r="N713" s="53">
        <f>(Tablo1[[#This Row],[KALAN ESANS]]/Tablo1[[#This Row],[Esans]]*0.01)*(Tablo1[[#This Row],[Alkol]]*100)</f>
        <v>0</v>
      </c>
      <c r="O713" s="53">
        <f>(Tablo1[[#This Row],[KALAN ESANS]]/Tablo1[[#This Row],[Esans]]*0.01)*(Tablo1[[#This Row],[Su]]*100)</f>
        <v>0</v>
      </c>
      <c r="P713" s="53">
        <f>Tablo1[[#This Row],[KALAN ESANS]]+Tablo1[[#This Row],[ALKOL Mik]]+Tablo1[[#This Row],[SU Mik]]</f>
        <v>0</v>
      </c>
    </row>
    <row r="714" spans="1:16" ht="15" customHeight="1" x14ac:dyDescent="0.2">
      <c r="A714" s="20" t="s">
        <v>596</v>
      </c>
      <c r="B714" s="37"/>
      <c r="C714" s="3">
        <v>0.17</v>
      </c>
      <c r="D714" s="3">
        <v>0.02</v>
      </c>
      <c r="E714" s="9">
        <f t="shared" si="11"/>
        <v>0.80999999999999994</v>
      </c>
      <c r="F714" s="6" t="s">
        <v>25</v>
      </c>
      <c r="G714" s="6" t="s">
        <v>770</v>
      </c>
      <c r="H714" s="59" t="e">
        <f>((Tablo1[[#This Row],[Esans Fiyat]]/#REF!*Tablo1[[#This Row],[Esans]]*100)+(#REF!/1000*Tablo1[[#This Row],[Su]]*100)+(#REF!/1000*Tablo1[[#This Row],[Alkol]]*100))*(#REF!/100)+#REF!</f>
        <v>#REF!</v>
      </c>
      <c r="I714" s="6" t="s">
        <v>772</v>
      </c>
      <c r="J714" s="53" t="e">
        <f>#REF!*Tablo1[[#This Row],[Esans]]</f>
        <v>#REF!</v>
      </c>
      <c r="K714" s="53" t="e">
        <f>#REF!*Tablo1[[#This Row],[Su]]</f>
        <v>#REF!</v>
      </c>
      <c r="L714" s="53" t="e">
        <f>#REF!*Tablo1[[#This Row],[Alkol]]</f>
        <v>#REF!</v>
      </c>
      <c r="M714" s="46"/>
      <c r="N714" s="53">
        <f>(Tablo1[[#This Row],[KALAN ESANS]]/Tablo1[[#This Row],[Esans]]*0.01)*(Tablo1[[#This Row],[Alkol]]*100)</f>
        <v>0</v>
      </c>
      <c r="O714" s="53">
        <f>(Tablo1[[#This Row],[KALAN ESANS]]/Tablo1[[#This Row],[Esans]]*0.01)*(Tablo1[[#This Row],[Su]]*100)</f>
        <v>0</v>
      </c>
      <c r="P714" s="53">
        <f>Tablo1[[#This Row],[KALAN ESANS]]+Tablo1[[#This Row],[ALKOL Mik]]+Tablo1[[#This Row],[SU Mik]]</f>
        <v>0</v>
      </c>
    </row>
    <row r="715" spans="1:16" ht="15" customHeight="1" x14ac:dyDescent="0.2">
      <c r="A715" s="20" t="s">
        <v>579</v>
      </c>
      <c r="B715" s="37"/>
      <c r="C715" s="3">
        <v>0.2</v>
      </c>
      <c r="D715" s="3">
        <v>0</v>
      </c>
      <c r="E715" s="9">
        <f t="shared" si="11"/>
        <v>0.8</v>
      </c>
      <c r="F715" s="6" t="s">
        <v>25</v>
      </c>
      <c r="G715" s="6" t="s">
        <v>770</v>
      </c>
      <c r="H715" s="59" t="e">
        <f>((Tablo1[[#This Row],[Esans Fiyat]]/#REF!*Tablo1[[#This Row],[Esans]]*100)+(#REF!/1000*Tablo1[[#This Row],[Su]]*100)+(#REF!/1000*Tablo1[[#This Row],[Alkol]]*100))*(#REF!/100)+#REF!</f>
        <v>#REF!</v>
      </c>
      <c r="I715" s="6" t="s">
        <v>776</v>
      </c>
      <c r="J715" s="53" t="e">
        <f>#REF!*Tablo1[[#This Row],[Esans]]</f>
        <v>#REF!</v>
      </c>
      <c r="K715" s="53" t="e">
        <f>#REF!*Tablo1[[#This Row],[Su]]</f>
        <v>#REF!</v>
      </c>
      <c r="L715" s="53" t="e">
        <f>#REF!*Tablo1[[#This Row],[Alkol]]</f>
        <v>#REF!</v>
      </c>
      <c r="M715" s="46"/>
      <c r="N715" s="53">
        <f>(Tablo1[[#This Row],[KALAN ESANS]]/Tablo1[[#This Row],[Esans]]*0.01)*(Tablo1[[#This Row],[Alkol]]*100)</f>
        <v>0</v>
      </c>
      <c r="O715" s="53">
        <f>(Tablo1[[#This Row],[KALAN ESANS]]/Tablo1[[#This Row],[Esans]]*0.01)*(Tablo1[[#This Row],[Su]]*100)</f>
        <v>0</v>
      </c>
      <c r="P715" s="53">
        <f>Tablo1[[#This Row],[KALAN ESANS]]+Tablo1[[#This Row],[ALKOL Mik]]+Tablo1[[#This Row],[SU Mik]]</f>
        <v>0</v>
      </c>
    </row>
    <row r="716" spans="1:16" ht="15" customHeight="1" x14ac:dyDescent="0.2">
      <c r="A716" s="20" t="s">
        <v>603</v>
      </c>
      <c r="B716" s="37"/>
      <c r="C716" s="3">
        <v>0.2</v>
      </c>
      <c r="D716" s="3">
        <v>0.02</v>
      </c>
      <c r="E716" s="9">
        <f t="shared" si="11"/>
        <v>0.78</v>
      </c>
      <c r="F716" s="6" t="s">
        <v>25</v>
      </c>
      <c r="G716" s="6" t="s">
        <v>770</v>
      </c>
      <c r="H716" s="59" t="e">
        <f>((Tablo1[[#This Row],[Esans Fiyat]]/#REF!*Tablo1[[#This Row],[Esans]]*100)+(#REF!/1000*Tablo1[[#This Row],[Su]]*100)+(#REF!/1000*Tablo1[[#This Row],[Alkol]]*100))*(#REF!/100)+#REF!</f>
        <v>#REF!</v>
      </c>
      <c r="I716" s="6" t="s">
        <v>776</v>
      </c>
      <c r="J716" s="53" t="e">
        <f>#REF!*Tablo1[[#This Row],[Esans]]</f>
        <v>#REF!</v>
      </c>
      <c r="K716" s="53" t="e">
        <f>#REF!*Tablo1[[#This Row],[Su]]</f>
        <v>#REF!</v>
      </c>
      <c r="L716" s="53" t="e">
        <f>#REF!*Tablo1[[#This Row],[Alkol]]</f>
        <v>#REF!</v>
      </c>
      <c r="M716" s="46"/>
      <c r="N716" s="53">
        <f>(Tablo1[[#This Row],[KALAN ESANS]]/Tablo1[[#This Row],[Esans]]*0.01)*(Tablo1[[#This Row],[Alkol]]*100)</f>
        <v>0</v>
      </c>
      <c r="O716" s="53">
        <f>(Tablo1[[#This Row],[KALAN ESANS]]/Tablo1[[#This Row],[Esans]]*0.01)*(Tablo1[[#This Row],[Su]]*100)</f>
        <v>0</v>
      </c>
      <c r="P716" s="53">
        <f>Tablo1[[#This Row],[KALAN ESANS]]+Tablo1[[#This Row],[ALKOL Mik]]+Tablo1[[#This Row],[SU Mik]]</f>
        <v>0</v>
      </c>
    </row>
    <row r="717" spans="1:16" ht="15" customHeight="1" x14ac:dyDescent="0.2">
      <c r="A717" s="20" t="s">
        <v>595</v>
      </c>
      <c r="B717" s="37"/>
      <c r="C717" s="3">
        <v>0.2</v>
      </c>
      <c r="D717" s="3">
        <v>0.02</v>
      </c>
      <c r="E717" s="9">
        <f t="shared" si="11"/>
        <v>0.78</v>
      </c>
      <c r="F717" s="6" t="s">
        <v>25</v>
      </c>
      <c r="G717" s="6" t="s">
        <v>770</v>
      </c>
      <c r="H717" s="59" t="e">
        <f>((Tablo1[[#This Row],[Esans Fiyat]]/#REF!*Tablo1[[#This Row],[Esans]]*100)+(#REF!/1000*Tablo1[[#This Row],[Su]]*100)+(#REF!/1000*Tablo1[[#This Row],[Alkol]]*100))*(#REF!/100)+#REF!</f>
        <v>#REF!</v>
      </c>
      <c r="I717" s="6" t="s">
        <v>776</v>
      </c>
      <c r="J717" s="53" t="e">
        <f>#REF!*Tablo1[[#This Row],[Esans]]</f>
        <v>#REF!</v>
      </c>
      <c r="K717" s="53" t="e">
        <f>#REF!*Tablo1[[#This Row],[Su]]</f>
        <v>#REF!</v>
      </c>
      <c r="L717" s="53" t="e">
        <f>#REF!*Tablo1[[#This Row],[Alkol]]</f>
        <v>#REF!</v>
      </c>
      <c r="M717" s="46"/>
      <c r="N717" s="53">
        <f>(Tablo1[[#This Row],[KALAN ESANS]]/Tablo1[[#This Row],[Esans]]*0.01)*(Tablo1[[#This Row],[Alkol]]*100)</f>
        <v>0</v>
      </c>
      <c r="O717" s="53">
        <f>(Tablo1[[#This Row],[KALAN ESANS]]/Tablo1[[#This Row],[Esans]]*0.01)*(Tablo1[[#This Row],[Su]]*100)</f>
        <v>0</v>
      </c>
      <c r="P717" s="53">
        <f>Tablo1[[#This Row],[KALAN ESANS]]+Tablo1[[#This Row],[ALKOL Mik]]+Tablo1[[#This Row],[SU Mik]]</f>
        <v>0</v>
      </c>
    </row>
    <row r="718" spans="1:16" ht="15" customHeight="1" x14ac:dyDescent="0.2">
      <c r="A718" s="20" t="s">
        <v>594</v>
      </c>
      <c r="B718" s="37"/>
      <c r="C718" s="3">
        <v>0.18</v>
      </c>
      <c r="D718" s="3">
        <v>0</v>
      </c>
      <c r="E718" s="9">
        <f t="shared" si="11"/>
        <v>0.82000000000000006</v>
      </c>
      <c r="F718" s="6" t="s">
        <v>25</v>
      </c>
      <c r="G718" s="6" t="s">
        <v>770</v>
      </c>
      <c r="H718" s="59" t="e">
        <f>((Tablo1[[#This Row],[Esans Fiyat]]/#REF!*Tablo1[[#This Row],[Esans]]*100)+(#REF!/1000*Tablo1[[#This Row],[Su]]*100)+(#REF!/1000*Tablo1[[#This Row],[Alkol]]*100))*(#REF!/100)+#REF!</f>
        <v>#REF!</v>
      </c>
      <c r="I718" s="6" t="s">
        <v>772</v>
      </c>
      <c r="J718" s="53" t="e">
        <f>#REF!*Tablo1[[#This Row],[Esans]]</f>
        <v>#REF!</v>
      </c>
      <c r="K718" s="53" t="e">
        <f>#REF!*Tablo1[[#This Row],[Su]]</f>
        <v>#REF!</v>
      </c>
      <c r="L718" s="53" t="e">
        <f>#REF!*Tablo1[[#This Row],[Alkol]]</f>
        <v>#REF!</v>
      </c>
      <c r="M718" s="46"/>
      <c r="N718" s="53">
        <f>(Tablo1[[#This Row],[KALAN ESANS]]/Tablo1[[#This Row],[Esans]]*0.01)*(Tablo1[[#This Row],[Alkol]]*100)</f>
        <v>0</v>
      </c>
      <c r="O718" s="53">
        <f>(Tablo1[[#This Row],[KALAN ESANS]]/Tablo1[[#This Row],[Esans]]*0.01)*(Tablo1[[#This Row],[Su]]*100)</f>
        <v>0</v>
      </c>
      <c r="P718" s="53">
        <f>Tablo1[[#This Row],[KALAN ESANS]]+Tablo1[[#This Row],[ALKOL Mik]]+Tablo1[[#This Row],[SU Mik]]</f>
        <v>0</v>
      </c>
    </row>
    <row r="719" spans="1:16" ht="15" customHeight="1" x14ac:dyDescent="0.2">
      <c r="A719" s="20" t="s">
        <v>573</v>
      </c>
      <c r="B719" s="37"/>
      <c r="C719" s="3">
        <v>0.2</v>
      </c>
      <c r="D719" s="3">
        <v>0.02</v>
      </c>
      <c r="E719" s="9">
        <f t="shared" si="11"/>
        <v>0.78</v>
      </c>
      <c r="F719" s="6" t="s">
        <v>25</v>
      </c>
      <c r="G719" s="6" t="s">
        <v>770</v>
      </c>
      <c r="H719" s="59" t="e">
        <f>((Tablo1[[#This Row],[Esans Fiyat]]/#REF!*Tablo1[[#This Row],[Esans]]*100)+(#REF!/1000*Tablo1[[#This Row],[Su]]*100)+(#REF!/1000*Tablo1[[#This Row],[Alkol]]*100))*(#REF!/100)+#REF!</f>
        <v>#REF!</v>
      </c>
      <c r="I719" s="6" t="s">
        <v>782</v>
      </c>
      <c r="J719" s="53" t="e">
        <f>#REF!*Tablo1[[#This Row],[Esans]]</f>
        <v>#REF!</v>
      </c>
      <c r="K719" s="53" t="e">
        <f>#REF!*Tablo1[[#This Row],[Su]]</f>
        <v>#REF!</v>
      </c>
      <c r="L719" s="53" t="e">
        <f>#REF!*Tablo1[[#This Row],[Alkol]]</f>
        <v>#REF!</v>
      </c>
      <c r="M719" s="46"/>
      <c r="N719" s="53">
        <f>(Tablo1[[#This Row],[KALAN ESANS]]/Tablo1[[#This Row],[Esans]]*0.01)*(Tablo1[[#This Row],[Alkol]]*100)</f>
        <v>0</v>
      </c>
      <c r="O719" s="53">
        <f>(Tablo1[[#This Row],[KALAN ESANS]]/Tablo1[[#This Row],[Esans]]*0.01)*(Tablo1[[#This Row],[Su]]*100)</f>
        <v>0</v>
      </c>
      <c r="P719" s="53">
        <f>Tablo1[[#This Row],[KALAN ESANS]]+Tablo1[[#This Row],[ALKOL Mik]]+Tablo1[[#This Row],[SU Mik]]</f>
        <v>0</v>
      </c>
    </row>
    <row r="720" spans="1:16" ht="15" customHeight="1" x14ac:dyDescent="0.2">
      <c r="A720" s="20" t="s">
        <v>605</v>
      </c>
      <c r="B720" s="37"/>
      <c r="C720" s="3">
        <v>0.18</v>
      </c>
      <c r="D720" s="3">
        <v>0.02</v>
      </c>
      <c r="E720" s="9">
        <f t="shared" si="11"/>
        <v>0.8</v>
      </c>
      <c r="F720" s="6" t="s">
        <v>25</v>
      </c>
      <c r="G720" s="6" t="s">
        <v>770</v>
      </c>
      <c r="H720" s="59" t="e">
        <f>((Tablo1[[#This Row],[Esans Fiyat]]/#REF!*Tablo1[[#This Row],[Esans]]*100)+(#REF!/1000*Tablo1[[#This Row],[Su]]*100)+(#REF!/1000*Tablo1[[#This Row],[Alkol]]*100))*(#REF!/100)+#REF!</f>
        <v>#REF!</v>
      </c>
      <c r="I720" s="6" t="s">
        <v>772</v>
      </c>
      <c r="J720" s="53" t="e">
        <f>#REF!*Tablo1[[#This Row],[Esans]]</f>
        <v>#REF!</v>
      </c>
      <c r="K720" s="53" t="e">
        <f>#REF!*Tablo1[[#This Row],[Su]]</f>
        <v>#REF!</v>
      </c>
      <c r="L720" s="53" t="e">
        <f>#REF!*Tablo1[[#This Row],[Alkol]]</f>
        <v>#REF!</v>
      </c>
      <c r="M720" s="46"/>
      <c r="N720" s="53">
        <f>(Tablo1[[#This Row],[KALAN ESANS]]/Tablo1[[#This Row],[Esans]]*0.01)*(Tablo1[[#This Row],[Alkol]]*100)</f>
        <v>0</v>
      </c>
      <c r="O720" s="53">
        <f>(Tablo1[[#This Row],[KALAN ESANS]]/Tablo1[[#This Row],[Esans]]*0.01)*(Tablo1[[#This Row],[Su]]*100)</f>
        <v>0</v>
      </c>
      <c r="P720" s="53">
        <f>Tablo1[[#This Row],[KALAN ESANS]]+Tablo1[[#This Row],[ALKOL Mik]]+Tablo1[[#This Row],[SU Mik]]</f>
        <v>0</v>
      </c>
    </row>
    <row r="721" spans="1:16" ht="15" customHeight="1" x14ac:dyDescent="0.2">
      <c r="A721" s="20" t="s">
        <v>578</v>
      </c>
      <c r="B721" s="37"/>
      <c r="C721" s="3">
        <v>0.2</v>
      </c>
      <c r="D721" s="3">
        <v>0.02</v>
      </c>
      <c r="E721" s="9">
        <f t="shared" si="11"/>
        <v>0.78</v>
      </c>
      <c r="F721" s="6" t="s">
        <v>25</v>
      </c>
      <c r="G721" s="6" t="s">
        <v>770</v>
      </c>
      <c r="H721" s="59" t="e">
        <f>((Tablo1[[#This Row],[Esans Fiyat]]/#REF!*Tablo1[[#This Row],[Esans]]*100)+(#REF!/1000*Tablo1[[#This Row],[Su]]*100)+(#REF!/1000*Tablo1[[#This Row],[Alkol]]*100))*(#REF!/100)+#REF!</f>
        <v>#REF!</v>
      </c>
      <c r="I721" s="6" t="s">
        <v>776</v>
      </c>
      <c r="J721" s="53" t="e">
        <f>#REF!*Tablo1[[#This Row],[Esans]]</f>
        <v>#REF!</v>
      </c>
      <c r="K721" s="53" t="e">
        <f>#REF!*Tablo1[[#This Row],[Su]]</f>
        <v>#REF!</v>
      </c>
      <c r="L721" s="53" t="e">
        <f>#REF!*Tablo1[[#This Row],[Alkol]]</f>
        <v>#REF!</v>
      </c>
      <c r="M721" s="46"/>
      <c r="N721" s="53">
        <f>(Tablo1[[#This Row],[KALAN ESANS]]/Tablo1[[#This Row],[Esans]]*0.01)*(Tablo1[[#This Row],[Alkol]]*100)</f>
        <v>0</v>
      </c>
      <c r="O721" s="53">
        <f>(Tablo1[[#This Row],[KALAN ESANS]]/Tablo1[[#This Row],[Esans]]*0.01)*(Tablo1[[#This Row],[Su]]*100)</f>
        <v>0</v>
      </c>
      <c r="P721" s="53">
        <f>Tablo1[[#This Row],[KALAN ESANS]]+Tablo1[[#This Row],[ALKOL Mik]]+Tablo1[[#This Row],[SU Mik]]</f>
        <v>0</v>
      </c>
    </row>
    <row r="722" spans="1:16" ht="15" customHeight="1" x14ac:dyDescent="0.2">
      <c r="A722" s="20" t="s">
        <v>606</v>
      </c>
      <c r="B722" s="37"/>
      <c r="C722" s="3">
        <v>0.13</v>
      </c>
      <c r="D722" s="3">
        <v>0.02</v>
      </c>
      <c r="E722" s="9">
        <f t="shared" si="11"/>
        <v>0.85</v>
      </c>
      <c r="F722" s="6" t="s">
        <v>28</v>
      </c>
      <c r="G722" s="6" t="s">
        <v>770</v>
      </c>
      <c r="H722" s="59" t="e">
        <f>((Tablo1[[#This Row],[Esans Fiyat]]/#REF!*Tablo1[[#This Row],[Esans]]*100)+(#REF!/1000*Tablo1[[#This Row],[Su]]*100)+(#REF!/1000*Tablo1[[#This Row],[Alkol]]*100))*(#REF!/100)+#REF!</f>
        <v>#REF!</v>
      </c>
      <c r="I722" s="6" t="s">
        <v>772</v>
      </c>
      <c r="J722" s="53" t="e">
        <f>#REF!*Tablo1[[#This Row],[Esans]]</f>
        <v>#REF!</v>
      </c>
      <c r="K722" s="53" t="e">
        <f>#REF!*Tablo1[[#This Row],[Su]]</f>
        <v>#REF!</v>
      </c>
      <c r="L722" s="53" t="e">
        <f>#REF!*Tablo1[[#This Row],[Alkol]]</f>
        <v>#REF!</v>
      </c>
      <c r="M722" s="46"/>
      <c r="N722" s="53">
        <f>(Tablo1[[#This Row],[KALAN ESANS]]/Tablo1[[#This Row],[Esans]]*0.01)*(Tablo1[[#This Row],[Alkol]]*100)</f>
        <v>0</v>
      </c>
      <c r="O722" s="53">
        <f>(Tablo1[[#This Row],[KALAN ESANS]]/Tablo1[[#This Row],[Esans]]*0.01)*(Tablo1[[#This Row],[Su]]*100)</f>
        <v>0</v>
      </c>
      <c r="P722" s="53">
        <f>Tablo1[[#This Row],[KALAN ESANS]]+Tablo1[[#This Row],[ALKOL Mik]]+Tablo1[[#This Row],[SU Mik]]</f>
        <v>0</v>
      </c>
    </row>
    <row r="723" spans="1:16" ht="15" customHeight="1" x14ac:dyDescent="0.2">
      <c r="A723" s="20" t="s">
        <v>572</v>
      </c>
      <c r="B723" s="37"/>
      <c r="C723" s="3">
        <v>0.23</v>
      </c>
      <c r="D723" s="3">
        <v>0.02</v>
      </c>
      <c r="E723" s="9">
        <f t="shared" si="11"/>
        <v>0.75</v>
      </c>
      <c r="F723" s="6" t="s">
        <v>25</v>
      </c>
      <c r="G723" s="6" t="s">
        <v>770</v>
      </c>
      <c r="H723" s="59" t="e">
        <f>((Tablo1[[#This Row],[Esans Fiyat]]/#REF!*Tablo1[[#This Row],[Esans]]*100)+(#REF!/1000*Tablo1[[#This Row],[Su]]*100)+(#REF!/1000*Tablo1[[#This Row],[Alkol]]*100))*(#REF!/100)+#REF!</f>
        <v>#REF!</v>
      </c>
      <c r="I723" s="6" t="s">
        <v>772</v>
      </c>
      <c r="J723" s="53" t="e">
        <f>#REF!*Tablo1[[#This Row],[Esans]]</f>
        <v>#REF!</v>
      </c>
      <c r="K723" s="53" t="e">
        <f>#REF!*Tablo1[[#This Row],[Su]]</f>
        <v>#REF!</v>
      </c>
      <c r="L723" s="53" t="e">
        <f>#REF!*Tablo1[[#This Row],[Alkol]]</f>
        <v>#REF!</v>
      </c>
      <c r="M723" s="46"/>
      <c r="N723" s="53">
        <f>(Tablo1[[#This Row],[KALAN ESANS]]/Tablo1[[#This Row],[Esans]]*0.01)*(Tablo1[[#This Row],[Alkol]]*100)</f>
        <v>0</v>
      </c>
      <c r="O723" s="53">
        <f>(Tablo1[[#This Row],[KALAN ESANS]]/Tablo1[[#This Row],[Esans]]*0.01)*(Tablo1[[#This Row],[Su]]*100)</f>
        <v>0</v>
      </c>
      <c r="P723" s="53">
        <f>Tablo1[[#This Row],[KALAN ESANS]]+Tablo1[[#This Row],[ALKOL Mik]]+Tablo1[[#This Row],[SU Mik]]</f>
        <v>0</v>
      </c>
    </row>
    <row r="724" spans="1:16" ht="15" customHeight="1" x14ac:dyDescent="0.2">
      <c r="A724" s="20" t="s">
        <v>584</v>
      </c>
      <c r="B724" s="37"/>
      <c r="C724" s="3">
        <v>0.2</v>
      </c>
      <c r="D724" s="3">
        <v>0</v>
      </c>
      <c r="E724" s="9">
        <f t="shared" si="11"/>
        <v>0.8</v>
      </c>
      <c r="F724" s="6" t="s">
        <v>25</v>
      </c>
      <c r="G724" s="6" t="s">
        <v>770</v>
      </c>
      <c r="H724" s="59" t="e">
        <f>((Tablo1[[#This Row],[Esans Fiyat]]/#REF!*Tablo1[[#This Row],[Esans]]*100)+(#REF!/1000*Tablo1[[#This Row],[Su]]*100)+(#REF!/1000*Tablo1[[#This Row],[Alkol]]*100))*(#REF!/100)+#REF!</f>
        <v>#REF!</v>
      </c>
      <c r="I724" s="6" t="s">
        <v>772</v>
      </c>
      <c r="J724" s="53" t="e">
        <f>#REF!*Tablo1[[#This Row],[Esans]]</f>
        <v>#REF!</v>
      </c>
      <c r="K724" s="53" t="e">
        <f>#REF!*Tablo1[[#This Row],[Su]]</f>
        <v>#REF!</v>
      </c>
      <c r="L724" s="53" t="e">
        <f>#REF!*Tablo1[[#This Row],[Alkol]]</f>
        <v>#REF!</v>
      </c>
      <c r="M724" s="46"/>
      <c r="N724" s="53">
        <f>(Tablo1[[#This Row],[KALAN ESANS]]/Tablo1[[#This Row],[Esans]]*0.01)*(Tablo1[[#This Row],[Alkol]]*100)</f>
        <v>0</v>
      </c>
      <c r="O724" s="53">
        <f>(Tablo1[[#This Row],[KALAN ESANS]]/Tablo1[[#This Row],[Esans]]*0.01)*(Tablo1[[#This Row],[Su]]*100)</f>
        <v>0</v>
      </c>
      <c r="P724" s="53">
        <f>Tablo1[[#This Row],[KALAN ESANS]]+Tablo1[[#This Row],[ALKOL Mik]]+Tablo1[[#This Row],[SU Mik]]</f>
        <v>0</v>
      </c>
    </row>
    <row r="725" spans="1:16" ht="15" customHeight="1" x14ac:dyDescent="0.2">
      <c r="A725" s="20" t="s">
        <v>602</v>
      </c>
      <c r="B725" s="37"/>
      <c r="C725" s="3">
        <v>0.2</v>
      </c>
      <c r="D725" s="3">
        <v>0.02</v>
      </c>
      <c r="E725" s="9">
        <f t="shared" si="11"/>
        <v>0.78</v>
      </c>
      <c r="F725" s="6" t="s">
        <v>25</v>
      </c>
      <c r="G725" s="6" t="s">
        <v>770</v>
      </c>
      <c r="H725" s="59" t="e">
        <f>((Tablo1[[#This Row],[Esans Fiyat]]/#REF!*Tablo1[[#This Row],[Esans]]*100)+(#REF!/1000*Tablo1[[#This Row],[Su]]*100)+(#REF!/1000*Tablo1[[#This Row],[Alkol]]*100))*(#REF!/100)+#REF!</f>
        <v>#REF!</v>
      </c>
      <c r="I725" s="6" t="s">
        <v>776</v>
      </c>
      <c r="J725" s="53" t="e">
        <f>#REF!*Tablo1[[#This Row],[Esans]]</f>
        <v>#REF!</v>
      </c>
      <c r="K725" s="53" t="e">
        <f>#REF!*Tablo1[[#This Row],[Su]]</f>
        <v>#REF!</v>
      </c>
      <c r="L725" s="53" t="e">
        <f>#REF!*Tablo1[[#This Row],[Alkol]]</f>
        <v>#REF!</v>
      </c>
      <c r="M725" s="46"/>
      <c r="N725" s="53">
        <f>(Tablo1[[#This Row],[KALAN ESANS]]/Tablo1[[#This Row],[Esans]]*0.01)*(Tablo1[[#This Row],[Alkol]]*100)</f>
        <v>0</v>
      </c>
      <c r="O725" s="53">
        <f>(Tablo1[[#This Row],[KALAN ESANS]]/Tablo1[[#This Row],[Esans]]*0.01)*(Tablo1[[#This Row],[Su]]*100)</f>
        <v>0</v>
      </c>
      <c r="P725" s="53">
        <f>Tablo1[[#This Row],[KALAN ESANS]]+Tablo1[[#This Row],[ALKOL Mik]]+Tablo1[[#This Row],[SU Mik]]</f>
        <v>0</v>
      </c>
    </row>
    <row r="726" spans="1:16" ht="15" customHeight="1" x14ac:dyDescent="0.2">
      <c r="A726" s="20" t="s">
        <v>593</v>
      </c>
      <c r="B726" s="37"/>
      <c r="C726" s="3">
        <v>0.17</v>
      </c>
      <c r="D726" s="3">
        <v>0</v>
      </c>
      <c r="E726" s="9">
        <f t="shared" si="11"/>
        <v>0.83</v>
      </c>
      <c r="F726" s="6" t="s">
        <v>25</v>
      </c>
      <c r="G726" s="6" t="s">
        <v>770</v>
      </c>
      <c r="H726" s="59" t="e">
        <f>((Tablo1[[#This Row],[Esans Fiyat]]/#REF!*Tablo1[[#This Row],[Esans]]*100)+(#REF!/1000*Tablo1[[#This Row],[Su]]*100)+(#REF!/1000*Tablo1[[#This Row],[Alkol]]*100))*(#REF!/100)+#REF!</f>
        <v>#REF!</v>
      </c>
      <c r="I726" s="6" t="s">
        <v>772</v>
      </c>
      <c r="J726" s="53" t="e">
        <f>#REF!*Tablo1[[#This Row],[Esans]]</f>
        <v>#REF!</v>
      </c>
      <c r="K726" s="53" t="e">
        <f>#REF!*Tablo1[[#This Row],[Su]]</f>
        <v>#REF!</v>
      </c>
      <c r="L726" s="53" t="e">
        <f>#REF!*Tablo1[[#This Row],[Alkol]]</f>
        <v>#REF!</v>
      </c>
      <c r="M726" s="46"/>
      <c r="N726" s="53">
        <f>(Tablo1[[#This Row],[KALAN ESANS]]/Tablo1[[#This Row],[Esans]]*0.01)*(Tablo1[[#This Row],[Alkol]]*100)</f>
        <v>0</v>
      </c>
      <c r="O726" s="53">
        <f>(Tablo1[[#This Row],[KALAN ESANS]]/Tablo1[[#This Row],[Esans]]*0.01)*(Tablo1[[#This Row],[Su]]*100)</f>
        <v>0</v>
      </c>
      <c r="P726" s="53">
        <f>Tablo1[[#This Row],[KALAN ESANS]]+Tablo1[[#This Row],[ALKOL Mik]]+Tablo1[[#This Row],[SU Mik]]</f>
        <v>0</v>
      </c>
    </row>
    <row r="727" spans="1:16" ht="15" customHeight="1" x14ac:dyDescent="0.2">
      <c r="A727" s="20" t="s">
        <v>592</v>
      </c>
      <c r="B727" s="37"/>
      <c r="C727" s="3">
        <v>0.2</v>
      </c>
      <c r="D727" s="3">
        <v>0.02</v>
      </c>
      <c r="E727" s="9">
        <f t="shared" si="11"/>
        <v>0.78</v>
      </c>
      <c r="F727" s="6" t="s">
        <v>25</v>
      </c>
      <c r="G727" s="6" t="s">
        <v>770</v>
      </c>
      <c r="H727" s="59" t="e">
        <f>((Tablo1[[#This Row],[Esans Fiyat]]/#REF!*Tablo1[[#This Row],[Esans]]*100)+(#REF!/1000*Tablo1[[#This Row],[Su]]*100)+(#REF!/1000*Tablo1[[#This Row],[Alkol]]*100))*(#REF!/100)+#REF!</f>
        <v>#REF!</v>
      </c>
      <c r="I727" s="6" t="s">
        <v>772</v>
      </c>
      <c r="J727" s="53" t="e">
        <f>#REF!*Tablo1[[#This Row],[Esans]]</f>
        <v>#REF!</v>
      </c>
      <c r="K727" s="53" t="e">
        <f>#REF!*Tablo1[[#This Row],[Su]]</f>
        <v>#REF!</v>
      </c>
      <c r="L727" s="53" t="e">
        <f>#REF!*Tablo1[[#This Row],[Alkol]]</f>
        <v>#REF!</v>
      </c>
      <c r="M727" s="46"/>
      <c r="N727" s="53">
        <f>(Tablo1[[#This Row],[KALAN ESANS]]/Tablo1[[#This Row],[Esans]]*0.01)*(Tablo1[[#This Row],[Alkol]]*100)</f>
        <v>0</v>
      </c>
      <c r="O727" s="53">
        <f>(Tablo1[[#This Row],[KALAN ESANS]]/Tablo1[[#This Row],[Esans]]*0.01)*(Tablo1[[#This Row],[Su]]*100)</f>
        <v>0</v>
      </c>
      <c r="P727" s="53">
        <f>Tablo1[[#This Row],[KALAN ESANS]]+Tablo1[[#This Row],[ALKOL Mik]]+Tablo1[[#This Row],[SU Mik]]</f>
        <v>0</v>
      </c>
    </row>
    <row r="728" spans="1:16" ht="15" customHeight="1" x14ac:dyDescent="0.2">
      <c r="A728" s="20" t="s">
        <v>591</v>
      </c>
      <c r="B728" s="37"/>
      <c r="C728" s="3">
        <v>0.2</v>
      </c>
      <c r="D728" s="3">
        <v>0.02</v>
      </c>
      <c r="E728" s="9">
        <f t="shared" si="11"/>
        <v>0.78</v>
      </c>
      <c r="F728" s="6" t="s">
        <v>25</v>
      </c>
      <c r="G728" s="6" t="s">
        <v>770</v>
      </c>
      <c r="H728" s="59" t="e">
        <f>((Tablo1[[#This Row],[Esans Fiyat]]/#REF!*Tablo1[[#This Row],[Esans]]*100)+(#REF!/1000*Tablo1[[#This Row],[Su]]*100)+(#REF!/1000*Tablo1[[#This Row],[Alkol]]*100))*(#REF!/100)+#REF!</f>
        <v>#REF!</v>
      </c>
      <c r="I728" s="6" t="s">
        <v>772</v>
      </c>
      <c r="J728" s="53" t="e">
        <f>#REF!*Tablo1[[#This Row],[Esans]]</f>
        <v>#REF!</v>
      </c>
      <c r="K728" s="53" t="e">
        <f>#REF!*Tablo1[[#This Row],[Su]]</f>
        <v>#REF!</v>
      </c>
      <c r="L728" s="53" t="e">
        <f>#REF!*Tablo1[[#This Row],[Alkol]]</f>
        <v>#REF!</v>
      </c>
      <c r="M728" s="46"/>
      <c r="N728" s="53">
        <f>(Tablo1[[#This Row],[KALAN ESANS]]/Tablo1[[#This Row],[Esans]]*0.01)*(Tablo1[[#This Row],[Alkol]]*100)</f>
        <v>0</v>
      </c>
      <c r="O728" s="53">
        <f>(Tablo1[[#This Row],[KALAN ESANS]]/Tablo1[[#This Row],[Esans]]*0.01)*(Tablo1[[#This Row],[Su]]*100)</f>
        <v>0</v>
      </c>
      <c r="P728" s="53">
        <f>Tablo1[[#This Row],[KALAN ESANS]]+Tablo1[[#This Row],[ALKOL Mik]]+Tablo1[[#This Row],[SU Mik]]</f>
        <v>0</v>
      </c>
    </row>
    <row r="729" spans="1:16" ht="15" customHeight="1" x14ac:dyDescent="0.2">
      <c r="A729" s="20" t="s">
        <v>577</v>
      </c>
      <c r="B729" s="37"/>
      <c r="C729" s="3">
        <v>0.2</v>
      </c>
      <c r="D729" s="3">
        <v>0.02</v>
      </c>
      <c r="E729" s="9">
        <f t="shared" si="11"/>
        <v>0.78</v>
      </c>
      <c r="F729" s="6" t="s">
        <v>25</v>
      </c>
      <c r="G729" s="6" t="s">
        <v>770</v>
      </c>
      <c r="H729" s="59" t="e">
        <f>((Tablo1[[#This Row],[Esans Fiyat]]/#REF!*Tablo1[[#This Row],[Esans]]*100)+(#REF!/1000*Tablo1[[#This Row],[Su]]*100)+(#REF!/1000*Tablo1[[#This Row],[Alkol]]*100))*(#REF!/100)+#REF!</f>
        <v>#REF!</v>
      </c>
      <c r="I729" s="6" t="s">
        <v>772</v>
      </c>
      <c r="J729" s="53" t="e">
        <f>#REF!*Tablo1[[#This Row],[Esans]]</f>
        <v>#REF!</v>
      </c>
      <c r="K729" s="53" t="e">
        <f>#REF!*Tablo1[[#This Row],[Su]]</f>
        <v>#REF!</v>
      </c>
      <c r="L729" s="53" t="e">
        <f>#REF!*Tablo1[[#This Row],[Alkol]]</f>
        <v>#REF!</v>
      </c>
      <c r="M729" s="46"/>
      <c r="N729" s="53">
        <f>(Tablo1[[#This Row],[KALAN ESANS]]/Tablo1[[#This Row],[Esans]]*0.01)*(Tablo1[[#This Row],[Alkol]]*100)</f>
        <v>0</v>
      </c>
      <c r="O729" s="53">
        <f>(Tablo1[[#This Row],[KALAN ESANS]]/Tablo1[[#This Row],[Esans]]*0.01)*(Tablo1[[#This Row],[Su]]*100)</f>
        <v>0</v>
      </c>
      <c r="P729" s="53">
        <f>Tablo1[[#This Row],[KALAN ESANS]]+Tablo1[[#This Row],[ALKOL Mik]]+Tablo1[[#This Row],[SU Mik]]</f>
        <v>0</v>
      </c>
    </row>
    <row r="730" spans="1:16" ht="15" customHeight="1" x14ac:dyDescent="0.2">
      <c r="A730" s="20" t="s">
        <v>590</v>
      </c>
      <c r="B730" s="37"/>
      <c r="C730" s="3">
        <v>0.2</v>
      </c>
      <c r="D730" s="3">
        <v>0</v>
      </c>
      <c r="E730" s="9">
        <f t="shared" si="11"/>
        <v>0.8</v>
      </c>
      <c r="F730" s="6" t="s">
        <v>25</v>
      </c>
      <c r="G730" s="6" t="s">
        <v>770</v>
      </c>
      <c r="H730" s="59" t="e">
        <f>((Tablo1[[#This Row],[Esans Fiyat]]/#REF!*Tablo1[[#This Row],[Esans]]*100)+(#REF!/1000*Tablo1[[#This Row],[Su]]*100)+(#REF!/1000*Tablo1[[#This Row],[Alkol]]*100))*(#REF!/100)+#REF!</f>
        <v>#REF!</v>
      </c>
      <c r="I730" s="6" t="s">
        <v>772</v>
      </c>
      <c r="J730" s="53" t="e">
        <f>#REF!*Tablo1[[#This Row],[Esans]]</f>
        <v>#REF!</v>
      </c>
      <c r="K730" s="53" t="e">
        <f>#REF!*Tablo1[[#This Row],[Su]]</f>
        <v>#REF!</v>
      </c>
      <c r="L730" s="53" t="e">
        <f>#REF!*Tablo1[[#This Row],[Alkol]]</f>
        <v>#REF!</v>
      </c>
      <c r="M730" s="46"/>
      <c r="N730" s="53">
        <f>(Tablo1[[#This Row],[KALAN ESANS]]/Tablo1[[#This Row],[Esans]]*0.01)*(Tablo1[[#This Row],[Alkol]]*100)</f>
        <v>0</v>
      </c>
      <c r="O730" s="53">
        <f>(Tablo1[[#This Row],[KALAN ESANS]]/Tablo1[[#This Row],[Esans]]*0.01)*(Tablo1[[#This Row],[Su]]*100)</f>
        <v>0</v>
      </c>
      <c r="P730" s="53">
        <f>Tablo1[[#This Row],[KALAN ESANS]]+Tablo1[[#This Row],[ALKOL Mik]]+Tablo1[[#This Row],[SU Mik]]</f>
        <v>0</v>
      </c>
    </row>
    <row r="731" spans="1:16" ht="15" customHeight="1" x14ac:dyDescent="0.2">
      <c r="A731" s="20" t="s">
        <v>589</v>
      </c>
      <c r="B731" s="37"/>
      <c r="C731" s="3">
        <v>0.22</v>
      </c>
      <c r="D731" s="3">
        <v>0.02</v>
      </c>
      <c r="E731" s="9">
        <f t="shared" si="11"/>
        <v>0.76</v>
      </c>
      <c r="F731" s="6" t="s">
        <v>25</v>
      </c>
      <c r="G731" s="6" t="s">
        <v>770</v>
      </c>
      <c r="H731" s="59" t="e">
        <f>((Tablo1[[#This Row],[Esans Fiyat]]/#REF!*Tablo1[[#This Row],[Esans]]*100)+(#REF!/1000*Tablo1[[#This Row],[Su]]*100)+(#REF!/1000*Tablo1[[#This Row],[Alkol]]*100))*(#REF!/100)+#REF!</f>
        <v>#REF!</v>
      </c>
      <c r="I731" s="6" t="s">
        <v>772</v>
      </c>
      <c r="J731" s="53" t="e">
        <f>#REF!*Tablo1[[#This Row],[Esans]]</f>
        <v>#REF!</v>
      </c>
      <c r="K731" s="53" t="e">
        <f>#REF!*Tablo1[[#This Row],[Su]]</f>
        <v>#REF!</v>
      </c>
      <c r="L731" s="53" t="e">
        <f>#REF!*Tablo1[[#This Row],[Alkol]]</f>
        <v>#REF!</v>
      </c>
      <c r="M731" s="46"/>
      <c r="N731" s="53">
        <f>(Tablo1[[#This Row],[KALAN ESANS]]/Tablo1[[#This Row],[Esans]]*0.01)*(Tablo1[[#This Row],[Alkol]]*100)</f>
        <v>0</v>
      </c>
      <c r="O731" s="53">
        <f>(Tablo1[[#This Row],[KALAN ESANS]]/Tablo1[[#This Row],[Esans]]*0.01)*(Tablo1[[#This Row],[Su]]*100)</f>
        <v>0</v>
      </c>
      <c r="P731" s="53">
        <f>Tablo1[[#This Row],[KALAN ESANS]]+Tablo1[[#This Row],[ALKOL Mik]]+Tablo1[[#This Row],[SU Mik]]</f>
        <v>0</v>
      </c>
    </row>
    <row r="732" spans="1:16" ht="15" customHeight="1" x14ac:dyDescent="0.2">
      <c r="A732" s="20" t="s">
        <v>588</v>
      </c>
      <c r="B732" s="37"/>
      <c r="C732" s="3">
        <v>0.2</v>
      </c>
      <c r="D732" s="3">
        <v>0.02</v>
      </c>
      <c r="E732" s="9">
        <f t="shared" si="11"/>
        <v>0.78</v>
      </c>
      <c r="F732" s="6" t="s">
        <v>25</v>
      </c>
      <c r="G732" s="6" t="s">
        <v>770</v>
      </c>
      <c r="H732" s="59" t="e">
        <f>((Tablo1[[#This Row],[Esans Fiyat]]/#REF!*Tablo1[[#This Row],[Esans]]*100)+(#REF!/1000*Tablo1[[#This Row],[Su]]*100)+(#REF!/1000*Tablo1[[#This Row],[Alkol]]*100))*(#REF!/100)+#REF!</f>
        <v>#REF!</v>
      </c>
      <c r="I732" s="6" t="s">
        <v>772</v>
      </c>
      <c r="J732" s="53" t="e">
        <f>#REF!*Tablo1[[#This Row],[Esans]]</f>
        <v>#REF!</v>
      </c>
      <c r="K732" s="53" t="e">
        <f>#REF!*Tablo1[[#This Row],[Su]]</f>
        <v>#REF!</v>
      </c>
      <c r="L732" s="53" t="e">
        <f>#REF!*Tablo1[[#This Row],[Alkol]]</f>
        <v>#REF!</v>
      </c>
      <c r="M732" s="46"/>
      <c r="N732" s="53">
        <f>(Tablo1[[#This Row],[KALAN ESANS]]/Tablo1[[#This Row],[Esans]]*0.01)*(Tablo1[[#This Row],[Alkol]]*100)</f>
        <v>0</v>
      </c>
      <c r="O732" s="53">
        <f>(Tablo1[[#This Row],[KALAN ESANS]]/Tablo1[[#This Row],[Esans]]*0.01)*(Tablo1[[#This Row],[Su]]*100)</f>
        <v>0</v>
      </c>
      <c r="P732" s="53">
        <f>Tablo1[[#This Row],[KALAN ESANS]]+Tablo1[[#This Row],[ALKOL Mik]]+Tablo1[[#This Row],[SU Mik]]</f>
        <v>0</v>
      </c>
    </row>
    <row r="733" spans="1:16" ht="15" customHeight="1" x14ac:dyDescent="0.2">
      <c r="A733" s="20" t="s">
        <v>583</v>
      </c>
      <c r="B733" s="37"/>
      <c r="C733" s="3">
        <v>0.2</v>
      </c>
      <c r="D733" s="3">
        <v>0</v>
      </c>
      <c r="E733" s="9">
        <f t="shared" si="11"/>
        <v>0.8</v>
      </c>
      <c r="F733" s="6" t="s">
        <v>25</v>
      </c>
      <c r="G733" s="6" t="s">
        <v>770</v>
      </c>
      <c r="H733" s="59" t="e">
        <f>((Tablo1[[#This Row],[Esans Fiyat]]/#REF!*Tablo1[[#This Row],[Esans]]*100)+(#REF!/1000*Tablo1[[#This Row],[Su]]*100)+(#REF!/1000*Tablo1[[#This Row],[Alkol]]*100))*(#REF!/100)+#REF!</f>
        <v>#REF!</v>
      </c>
      <c r="I733" s="6" t="s">
        <v>776</v>
      </c>
      <c r="J733" s="53" t="e">
        <f>#REF!*Tablo1[[#This Row],[Esans]]</f>
        <v>#REF!</v>
      </c>
      <c r="K733" s="53" t="e">
        <f>#REF!*Tablo1[[#This Row],[Su]]</f>
        <v>#REF!</v>
      </c>
      <c r="L733" s="53" t="e">
        <f>#REF!*Tablo1[[#This Row],[Alkol]]</f>
        <v>#REF!</v>
      </c>
      <c r="M733" s="46"/>
      <c r="N733" s="53">
        <f>(Tablo1[[#This Row],[KALAN ESANS]]/Tablo1[[#This Row],[Esans]]*0.01)*(Tablo1[[#This Row],[Alkol]]*100)</f>
        <v>0</v>
      </c>
      <c r="O733" s="53">
        <f>(Tablo1[[#This Row],[KALAN ESANS]]/Tablo1[[#This Row],[Esans]]*0.01)*(Tablo1[[#This Row],[Su]]*100)</f>
        <v>0</v>
      </c>
      <c r="P733" s="53">
        <f>Tablo1[[#This Row],[KALAN ESANS]]+Tablo1[[#This Row],[ALKOL Mik]]+Tablo1[[#This Row],[SU Mik]]</f>
        <v>0</v>
      </c>
    </row>
    <row r="734" spans="1:16" ht="15" customHeight="1" x14ac:dyDescent="0.2">
      <c r="A734" s="20" t="s">
        <v>581</v>
      </c>
      <c r="B734" s="37"/>
      <c r="C734" s="3">
        <v>0.2</v>
      </c>
      <c r="D734" s="3">
        <v>0.02</v>
      </c>
      <c r="E734" s="9">
        <f t="shared" si="11"/>
        <v>0.78</v>
      </c>
      <c r="F734" s="6" t="s">
        <v>25</v>
      </c>
      <c r="G734" s="6" t="s">
        <v>770</v>
      </c>
      <c r="H734" s="59" t="e">
        <f>((Tablo1[[#This Row],[Esans Fiyat]]/#REF!*Tablo1[[#This Row],[Esans]]*100)+(#REF!/1000*Tablo1[[#This Row],[Su]]*100)+(#REF!/1000*Tablo1[[#This Row],[Alkol]]*100))*(#REF!/100)+#REF!</f>
        <v>#REF!</v>
      </c>
      <c r="I734" s="6" t="s">
        <v>772</v>
      </c>
      <c r="J734" s="53" t="e">
        <f>#REF!*Tablo1[[#This Row],[Esans]]</f>
        <v>#REF!</v>
      </c>
      <c r="K734" s="53" t="e">
        <f>#REF!*Tablo1[[#This Row],[Su]]</f>
        <v>#REF!</v>
      </c>
      <c r="L734" s="53" t="e">
        <f>#REF!*Tablo1[[#This Row],[Alkol]]</f>
        <v>#REF!</v>
      </c>
      <c r="M734" s="46"/>
      <c r="N734" s="53">
        <f>(Tablo1[[#This Row],[KALAN ESANS]]/Tablo1[[#This Row],[Esans]]*0.01)*(Tablo1[[#This Row],[Alkol]]*100)</f>
        <v>0</v>
      </c>
      <c r="O734" s="53">
        <f>(Tablo1[[#This Row],[KALAN ESANS]]/Tablo1[[#This Row],[Esans]]*0.01)*(Tablo1[[#This Row],[Su]]*100)</f>
        <v>0</v>
      </c>
      <c r="P734" s="53">
        <f>Tablo1[[#This Row],[KALAN ESANS]]+Tablo1[[#This Row],[ALKOL Mik]]+Tablo1[[#This Row],[SU Mik]]</f>
        <v>0</v>
      </c>
    </row>
    <row r="735" spans="1:16" ht="15" customHeight="1" x14ac:dyDescent="0.2">
      <c r="A735" s="20" t="s">
        <v>587</v>
      </c>
      <c r="B735" s="37"/>
      <c r="C735" s="3">
        <v>0.2</v>
      </c>
      <c r="D735" s="3">
        <v>0.02</v>
      </c>
      <c r="E735" s="9">
        <f t="shared" si="11"/>
        <v>0.78</v>
      </c>
      <c r="F735" s="6" t="s">
        <v>25</v>
      </c>
      <c r="G735" s="6" t="s">
        <v>770</v>
      </c>
      <c r="H735" s="59" t="e">
        <f>((Tablo1[[#This Row],[Esans Fiyat]]/#REF!*Tablo1[[#This Row],[Esans]]*100)+(#REF!/1000*Tablo1[[#This Row],[Su]]*100)+(#REF!/1000*Tablo1[[#This Row],[Alkol]]*100))*(#REF!/100)+#REF!</f>
        <v>#REF!</v>
      </c>
      <c r="I735" s="6" t="s">
        <v>772</v>
      </c>
      <c r="J735" s="53" t="e">
        <f>#REF!*Tablo1[[#This Row],[Esans]]</f>
        <v>#REF!</v>
      </c>
      <c r="K735" s="53" t="e">
        <f>#REF!*Tablo1[[#This Row],[Su]]</f>
        <v>#REF!</v>
      </c>
      <c r="L735" s="53" t="e">
        <f>#REF!*Tablo1[[#This Row],[Alkol]]</f>
        <v>#REF!</v>
      </c>
      <c r="M735" s="46"/>
      <c r="N735" s="53">
        <f>(Tablo1[[#This Row],[KALAN ESANS]]/Tablo1[[#This Row],[Esans]]*0.01)*(Tablo1[[#This Row],[Alkol]]*100)</f>
        <v>0</v>
      </c>
      <c r="O735" s="53">
        <f>(Tablo1[[#This Row],[KALAN ESANS]]/Tablo1[[#This Row],[Esans]]*0.01)*(Tablo1[[#This Row],[Su]]*100)</f>
        <v>0</v>
      </c>
      <c r="P735" s="53">
        <f>Tablo1[[#This Row],[KALAN ESANS]]+Tablo1[[#This Row],[ALKOL Mik]]+Tablo1[[#This Row],[SU Mik]]</f>
        <v>0</v>
      </c>
    </row>
    <row r="736" spans="1:16" ht="15" customHeight="1" x14ac:dyDescent="0.2">
      <c r="A736" s="20" t="s">
        <v>609</v>
      </c>
      <c r="B736" s="37"/>
      <c r="C736" s="3">
        <v>0.2</v>
      </c>
      <c r="D736" s="3">
        <v>0.02</v>
      </c>
      <c r="E736" s="9">
        <f t="shared" si="11"/>
        <v>0.78</v>
      </c>
      <c r="F736" s="6" t="s">
        <v>25</v>
      </c>
      <c r="G736" s="6" t="s">
        <v>770</v>
      </c>
      <c r="H736" s="59" t="e">
        <f>((Tablo1[[#This Row],[Esans Fiyat]]/#REF!*Tablo1[[#This Row],[Esans]]*100)+(#REF!/1000*Tablo1[[#This Row],[Su]]*100)+(#REF!/1000*Tablo1[[#This Row],[Alkol]]*100))*(#REF!/100)+#REF!</f>
        <v>#REF!</v>
      </c>
      <c r="I736" s="6" t="s">
        <v>772</v>
      </c>
      <c r="J736" s="53" t="e">
        <f>#REF!*Tablo1[[#This Row],[Esans]]</f>
        <v>#REF!</v>
      </c>
      <c r="K736" s="53" t="e">
        <f>#REF!*Tablo1[[#This Row],[Su]]</f>
        <v>#REF!</v>
      </c>
      <c r="L736" s="53" t="e">
        <f>#REF!*Tablo1[[#This Row],[Alkol]]</f>
        <v>#REF!</v>
      </c>
      <c r="M736" s="46"/>
      <c r="N736" s="53">
        <f>(Tablo1[[#This Row],[KALAN ESANS]]/Tablo1[[#This Row],[Esans]]*0.01)*(Tablo1[[#This Row],[Alkol]]*100)</f>
        <v>0</v>
      </c>
      <c r="O736" s="53">
        <f>(Tablo1[[#This Row],[KALAN ESANS]]/Tablo1[[#This Row],[Esans]]*0.01)*(Tablo1[[#This Row],[Su]]*100)</f>
        <v>0</v>
      </c>
      <c r="P736" s="53">
        <f>Tablo1[[#This Row],[KALAN ESANS]]+Tablo1[[#This Row],[ALKOL Mik]]+Tablo1[[#This Row],[SU Mik]]</f>
        <v>0</v>
      </c>
    </row>
    <row r="737" spans="1:16" ht="15" customHeight="1" x14ac:dyDescent="0.2">
      <c r="A737" s="20" t="s">
        <v>576</v>
      </c>
      <c r="B737" s="37"/>
      <c r="C737" s="3">
        <v>0.2</v>
      </c>
      <c r="D737" s="3">
        <v>0</v>
      </c>
      <c r="E737" s="9">
        <f t="shared" si="11"/>
        <v>0.8</v>
      </c>
      <c r="F737" s="6" t="s">
        <v>25</v>
      </c>
      <c r="G737" s="6" t="s">
        <v>770</v>
      </c>
      <c r="H737" s="59" t="e">
        <f>((Tablo1[[#This Row],[Esans Fiyat]]/#REF!*Tablo1[[#This Row],[Esans]]*100)+(#REF!/1000*Tablo1[[#This Row],[Su]]*100)+(#REF!/1000*Tablo1[[#This Row],[Alkol]]*100))*(#REF!/100)+#REF!</f>
        <v>#REF!</v>
      </c>
      <c r="I737" s="6" t="s">
        <v>776</v>
      </c>
      <c r="J737" s="53" t="e">
        <f>#REF!*Tablo1[[#This Row],[Esans]]</f>
        <v>#REF!</v>
      </c>
      <c r="K737" s="53" t="e">
        <f>#REF!*Tablo1[[#This Row],[Su]]</f>
        <v>#REF!</v>
      </c>
      <c r="L737" s="53" t="e">
        <f>#REF!*Tablo1[[#This Row],[Alkol]]</f>
        <v>#REF!</v>
      </c>
      <c r="M737" s="46"/>
      <c r="N737" s="53">
        <f>(Tablo1[[#This Row],[KALAN ESANS]]/Tablo1[[#This Row],[Esans]]*0.01)*(Tablo1[[#This Row],[Alkol]]*100)</f>
        <v>0</v>
      </c>
      <c r="O737" s="53">
        <f>(Tablo1[[#This Row],[KALAN ESANS]]/Tablo1[[#This Row],[Esans]]*0.01)*(Tablo1[[#This Row],[Su]]*100)</f>
        <v>0</v>
      </c>
      <c r="P737" s="53">
        <f>Tablo1[[#This Row],[KALAN ESANS]]+Tablo1[[#This Row],[ALKOL Mik]]+Tablo1[[#This Row],[SU Mik]]</f>
        <v>0</v>
      </c>
    </row>
    <row r="738" spans="1:16" ht="15" customHeight="1" x14ac:dyDescent="0.2">
      <c r="A738" s="20" t="s">
        <v>575</v>
      </c>
      <c r="B738" s="37"/>
      <c r="C738" s="3">
        <v>0.21</v>
      </c>
      <c r="D738" s="3">
        <v>0</v>
      </c>
      <c r="E738" s="9">
        <f t="shared" si="11"/>
        <v>0.79</v>
      </c>
      <c r="F738" s="6" t="s">
        <v>25</v>
      </c>
      <c r="G738" s="6" t="s">
        <v>770</v>
      </c>
      <c r="H738" s="59" t="e">
        <f>((Tablo1[[#This Row],[Esans Fiyat]]/#REF!*Tablo1[[#This Row],[Esans]]*100)+(#REF!/1000*Tablo1[[#This Row],[Su]]*100)+(#REF!/1000*Tablo1[[#This Row],[Alkol]]*100))*(#REF!/100)+#REF!</f>
        <v>#REF!</v>
      </c>
      <c r="I738" s="6" t="s">
        <v>772</v>
      </c>
      <c r="J738" s="53" t="e">
        <f>#REF!*Tablo1[[#This Row],[Esans]]</f>
        <v>#REF!</v>
      </c>
      <c r="K738" s="53" t="e">
        <f>#REF!*Tablo1[[#This Row],[Su]]</f>
        <v>#REF!</v>
      </c>
      <c r="L738" s="53" t="e">
        <f>#REF!*Tablo1[[#This Row],[Alkol]]</f>
        <v>#REF!</v>
      </c>
      <c r="M738" s="46"/>
      <c r="N738" s="53">
        <f>(Tablo1[[#This Row],[KALAN ESANS]]/Tablo1[[#This Row],[Esans]]*0.01)*(Tablo1[[#This Row],[Alkol]]*100)</f>
        <v>0</v>
      </c>
      <c r="O738" s="53">
        <f>(Tablo1[[#This Row],[KALAN ESANS]]/Tablo1[[#This Row],[Esans]]*0.01)*(Tablo1[[#This Row],[Su]]*100)</f>
        <v>0</v>
      </c>
      <c r="P738" s="53">
        <f>Tablo1[[#This Row],[KALAN ESANS]]+Tablo1[[#This Row],[ALKOL Mik]]+Tablo1[[#This Row],[SU Mik]]</f>
        <v>0</v>
      </c>
    </row>
    <row r="739" spans="1:16" ht="15" customHeight="1" x14ac:dyDescent="0.2">
      <c r="A739" s="20" t="s">
        <v>608</v>
      </c>
      <c r="B739" s="37"/>
      <c r="C739" s="3">
        <v>0.2</v>
      </c>
      <c r="D739" s="3">
        <v>0.02</v>
      </c>
      <c r="E739" s="9">
        <f t="shared" si="11"/>
        <v>0.78</v>
      </c>
      <c r="F739" s="6" t="s">
        <v>25</v>
      </c>
      <c r="G739" s="6" t="s">
        <v>770</v>
      </c>
      <c r="H739" s="59" t="e">
        <f>((Tablo1[[#This Row],[Esans Fiyat]]/#REF!*Tablo1[[#This Row],[Esans]]*100)+(#REF!/1000*Tablo1[[#This Row],[Su]]*100)+(#REF!/1000*Tablo1[[#This Row],[Alkol]]*100))*(#REF!/100)+#REF!</f>
        <v>#REF!</v>
      </c>
      <c r="I739" s="6" t="s">
        <v>772</v>
      </c>
      <c r="J739" s="53" t="e">
        <f>#REF!*Tablo1[[#This Row],[Esans]]</f>
        <v>#REF!</v>
      </c>
      <c r="K739" s="53" t="e">
        <f>#REF!*Tablo1[[#This Row],[Su]]</f>
        <v>#REF!</v>
      </c>
      <c r="L739" s="53" t="e">
        <f>#REF!*Tablo1[[#This Row],[Alkol]]</f>
        <v>#REF!</v>
      </c>
      <c r="M739" s="46"/>
      <c r="N739" s="53">
        <f>(Tablo1[[#This Row],[KALAN ESANS]]/Tablo1[[#This Row],[Esans]]*0.01)*(Tablo1[[#This Row],[Alkol]]*100)</f>
        <v>0</v>
      </c>
      <c r="O739" s="53">
        <f>(Tablo1[[#This Row],[KALAN ESANS]]/Tablo1[[#This Row],[Esans]]*0.01)*(Tablo1[[#This Row],[Su]]*100)</f>
        <v>0</v>
      </c>
      <c r="P739" s="53">
        <f>Tablo1[[#This Row],[KALAN ESANS]]+Tablo1[[#This Row],[ALKOL Mik]]+Tablo1[[#This Row],[SU Mik]]</f>
        <v>0</v>
      </c>
    </row>
    <row r="740" spans="1:16" ht="15" customHeight="1" x14ac:dyDescent="0.2">
      <c r="A740" s="20" t="s">
        <v>601</v>
      </c>
      <c r="B740" s="37"/>
      <c r="C740" s="3">
        <v>0.2</v>
      </c>
      <c r="D740" s="3">
        <v>0.02</v>
      </c>
      <c r="E740" s="9">
        <f t="shared" si="11"/>
        <v>0.78</v>
      </c>
      <c r="F740" s="6" t="s">
        <v>25</v>
      </c>
      <c r="G740" s="6" t="s">
        <v>770</v>
      </c>
      <c r="H740" s="59" t="e">
        <f>((Tablo1[[#This Row],[Esans Fiyat]]/#REF!*Tablo1[[#This Row],[Esans]]*100)+(#REF!/1000*Tablo1[[#This Row],[Su]]*100)+(#REF!/1000*Tablo1[[#This Row],[Alkol]]*100))*(#REF!/100)+#REF!</f>
        <v>#REF!</v>
      </c>
      <c r="I740" s="6" t="s">
        <v>776</v>
      </c>
      <c r="J740" s="53" t="e">
        <f>#REF!*Tablo1[[#This Row],[Esans]]</f>
        <v>#REF!</v>
      </c>
      <c r="K740" s="53" t="e">
        <f>#REF!*Tablo1[[#This Row],[Su]]</f>
        <v>#REF!</v>
      </c>
      <c r="L740" s="53" t="e">
        <f>#REF!*Tablo1[[#This Row],[Alkol]]</f>
        <v>#REF!</v>
      </c>
      <c r="M740" s="46"/>
      <c r="N740" s="53">
        <f>(Tablo1[[#This Row],[KALAN ESANS]]/Tablo1[[#This Row],[Esans]]*0.01)*(Tablo1[[#This Row],[Alkol]]*100)</f>
        <v>0</v>
      </c>
      <c r="O740" s="53">
        <f>(Tablo1[[#This Row],[KALAN ESANS]]/Tablo1[[#This Row],[Esans]]*0.01)*(Tablo1[[#This Row],[Su]]*100)</f>
        <v>0</v>
      </c>
      <c r="P740" s="53">
        <f>Tablo1[[#This Row],[KALAN ESANS]]+Tablo1[[#This Row],[ALKOL Mik]]+Tablo1[[#This Row],[SU Mik]]</f>
        <v>0</v>
      </c>
    </row>
    <row r="741" spans="1:16" ht="15" customHeight="1" x14ac:dyDescent="0.2">
      <c r="A741" s="20" t="s">
        <v>574</v>
      </c>
      <c r="B741" s="37"/>
      <c r="C741" s="3">
        <v>0.2</v>
      </c>
      <c r="D741" s="3">
        <v>0</v>
      </c>
      <c r="E741" s="9">
        <f t="shared" si="11"/>
        <v>0.8</v>
      </c>
      <c r="F741" s="6" t="s">
        <v>25</v>
      </c>
      <c r="G741" s="6" t="s">
        <v>770</v>
      </c>
      <c r="H741" s="59" t="e">
        <f>((Tablo1[[#This Row],[Esans Fiyat]]/#REF!*Tablo1[[#This Row],[Esans]]*100)+(#REF!/1000*Tablo1[[#This Row],[Su]]*100)+(#REF!/1000*Tablo1[[#This Row],[Alkol]]*100))*(#REF!/100)+#REF!</f>
        <v>#REF!</v>
      </c>
      <c r="I741" s="6" t="s">
        <v>776</v>
      </c>
      <c r="J741" s="53" t="e">
        <f>#REF!*Tablo1[[#This Row],[Esans]]</f>
        <v>#REF!</v>
      </c>
      <c r="K741" s="53" t="e">
        <f>#REF!*Tablo1[[#This Row],[Su]]</f>
        <v>#REF!</v>
      </c>
      <c r="L741" s="53" t="e">
        <f>#REF!*Tablo1[[#This Row],[Alkol]]</f>
        <v>#REF!</v>
      </c>
      <c r="M741" s="46"/>
      <c r="N741" s="53">
        <f>(Tablo1[[#This Row],[KALAN ESANS]]/Tablo1[[#This Row],[Esans]]*0.01)*(Tablo1[[#This Row],[Alkol]]*100)</f>
        <v>0</v>
      </c>
      <c r="O741" s="53">
        <f>(Tablo1[[#This Row],[KALAN ESANS]]/Tablo1[[#This Row],[Esans]]*0.01)*(Tablo1[[#This Row],[Su]]*100)</f>
        <v>0</v>
      </c>
      <c r="P741" s="53">
        <f>Tablo1[[#This Row],[KALAN ESANS]]+Tablo1[[#This Row],[ALKOL Mik]]+Tablo1[[#This Row],[SU Mik]]</f>
        <v>0</v>
      </c>
    </row>
    <row r="742" spans="1:16" ht="15" customHeight="1" x14ac:dyDescent="0.2">
      <c r="A742" s="20" t="s">
        <v>547</v>
      </c>
      <c r="B742" s="37"/>
      <c r="C742" s="3">
        <v>0.18</v>
      </c>
      <c r="D742" s="3">
        <v>0.02</v>
      </c>
      <c r="E742" s="9">
        <f t="shared" si="11"/>
        <v>0.8</v>
      </c>
      <c r="F742" s="6" t="s">
        <v>25</v>
      </c>
      <c r="G742" s="6" t="s">
        <v>770</v>
      </c>
      <c r="H742" s="59" t="e">
        <f>((Tablo1[[#This Row],[Esans Fiyat]]/#REF!*Tablo1[[#This Row],[Esans]]*100)+(#REF!/1000*Tablo1[[#This Row],[Su]]*100)+(#REF!/1000*Tablo1[[#This Row],[Alkol]]*100))*(#REF!/100)+#REF!</f>
        <v>#REF!</v>
      </c>
      <c r="I742" s="6" t="s">
        <v>782</v>
      </c>
      <c r="J742" s="53" t="e">
        <f>#REF!*Tablo1[[#This Row],[Esans]]</f>
        <v>#REF!</v>
      </c>
      <c r="K742" s="53" t="e">
        <f>#REF!*Tablo1[[#This Row],[Su]]</f>
        <v>#REF!</v>
      </c>
      <c r="L742" s="53" t="e">
        <f>#REF!*Tablo1[[#This Row],[Alkol]]</f>
        <v>#REF!</v>
      </c>
      <c r="M742" s="46"/>
      <c r="N742" s="53">
        <f>(Tablo1[[#This Row],[KALAN ESANS]]/Tablo1[[#This Row],[Esans]]*0.01)*(Tablo1[[#This Row],[Alkol]]*100)</f>
        <v>0</v>
      </c>
      <c r="O742" s="53">
        <f>(Tablo1[[#This Row],[KALAN ESANS]]/Tablo1[[#This Row],[Esans]]*0.01)*(Tablo1[[#This Row],[Su]]*100)</f>
        <v>0</v>
      </c>
      <c r="P742" s="53">
        <f>Tablo1[[#This Row],[KALAN ESANS]]+Tablo1[[#This Row],[ALKOL Mik]]+Tablo1[[#This Row],[SU Mik]]</f>
        <v>0</v>
      </c>
    </row>
    <row r="743" spans="1:16" ht="15" customHeight="1" x14ac:dyDescent="0.2">
      <c r="A743" s="20" t="s">
        <v>549</v>
      </c>
      <c r="B743" s="37"/>
      <c r="C743" s="3">
        <v>0.2</v>
      </c>
      <c r="D743" s="3">
        <v>0.02</v>
      </c>
      <c r="E743" s="9">
        <f t="shared" si="11"/>
        <v>0.78</v>
      </c>
      <c r="F743" s="6" t="s">
        <v>25</v>
      </c>
      <c r="G743" s="6" t="s">
        <v>770</v>
      </c>
      <c r="H743" s="59" t="e">
        <f>((Tablo1[[#This Row],[Esans Fiyat]]/#REF!*Tablo1[[#This Row],[Esans]]*100)+(#REF!/1000*Tablo1[[#This Row],[Su]]*100)+(#REF!/1000*Tablo1[[#This Row],[Alkol]]*100))*(#REF!/100)+#REF!</f>
        <v>#REF!</v>
      </c>
      <c r="I743" s="6" t="s">
        <v>772</v>
      </c>
      <c r="J743" s="53" t="e">
        <f>#REF!*Tablo1[[#This Row],[Esans]]</f>
        <v>#REF!</v>
      </c>
      <c r="K743" s="53" t="e">
        <f>#REF!*Tablo1[[#This Row],[Su]]</f>
        <v>#REF!</v>
      </c>
      <c r="L743" s="53" t="e">
        <f>#REF!*Tablo1[[#This Row],[Alkol]]</f>
        <v>#REF!</v>
      </c>
      <c r="M743" s="46"/>
      <c r="N743" s="53">
        <f>(Tablo1[[#This Row],[KALAN ESANS]]/Tablo1[[#This Row],[Esans]]*0.01)*(Tablo1[[#This Row],[Alkol]]*100)</f>
        <v>0</v>
      </c>
      <c r="O743" s="53">
        <f>(Tablo1[[#This Row],[KALAN ESANS]]/Tablo1[[#This Row],[Esans]]*0.01)*(Tablo1[[#This Row],[Su]]*100)</f>
        <v>0</v>
      </c>
      <c r="P743" s="53">
        <f>Tablo1[[#This Row],[KALAN ESANS]]+Tablo1[[#This Row],[ALKOL Mik]]+Tablo1[[#This Row],[SU Mik]]</f>
        <v>0</v>
      </c>
    </row>
    <row r="744" spans="1:16" ht="15" customHeight="1" x14ac:dyDescent="0.2">
      <c r="A744" s="20" t="s">
        <v>534</v>
      </c>
      <c r="B744" s="37"/>
      <c r="C744" s="3">
        <v>0.17</v>
      </c>
      <c r="D744" s="3">
        <v>0</v>
      </c>
      <c r="E744" s="9">
        <f t="shared" si="11"/>
        <v>0.83</v>
      </c>
      <c r="F744" s="6" t="s">
        <v>25</v>
      </c>
      <c r="G744" s="6" t="s">
        <v>770</v>
      </c>
      <c r="H744" s="59" t="e">
        <f>((Tablo1[[#This Row],[Esans Fiyat]]/#REF!*Tablo1[[#This Row],[Esans]]*100)+(#REF!/1000*Tablo1[[#This Row],[Su]]*100)+(#REF!/1000*Tablo1[[#This Row],[Alkol]]*100))*(#REF!/100)+#REF!</f>
        <v>#REF!</v>
      </c>
      <c r="I744" s="6" t="s">
        <v>772</v>
      </c>
      <c r="J744" s="53" t="e">
        <f>#REF!*Tablo1[[#This Row],[Esans]]</f>
        <v>#REF!</v>
      </c>
      <c r="K744" s="53" t="e">
        <f>#REF!*Tablo1[[#This Row],[Su]]</f>
        <v>#REF!</v>
      </c>
      <c r="L744" s="53" t="e">
        <f>#REF!*Tablo1[[#This Row],[Alkol]]</f>
        <v>#REF!</v>
      </c>
      <c r="M744" s="46"/>
      <c r="N744" s="53">
        <f>(Tablo1[[#This Row],[KALAN ESANS]]/Tablo1[[#This Row],[Esans]]*0.01)*(Tablo1[[#This Row],[Alkol]]*100)</f>
        <v>0</v>
      </c>
      <c r="O744" s="53">
        <f>(Tablo1[[#This Row],[KALAN ESANS]]/Tablo1[[#This Row],[Esans]]*0.01)*(Tablo1[[#This Row],[Su]]*100)</f>
        <v>0</v>
      </c>
      <c r="P744" s="53">
        <f>Tablo1[[#This Row],[KALAN ESANS]]+Tablo1[[#This Row],[ALKOL Mik]]+Tablo1[[#This Row],[SU Mik]]</f>
        <v>0</v>
      </c>
    </row>
    <row r="745" spans="1:16" ht="15" customHeight="1" x14ac:dyDescent="0.2">
      <c r="A745" s="20" t="s">
        <v>538</v>
      </c>
      <c r="B745" s="37"/>
      <c r="C745" s="3">
        <v>0.18</v>
      </c>
      <c r="D745" s="3">
        <v>0.02</v>
      </c>
      <c r="E745" s="9">
        <f t="shared" si="11"/>
        <v>0.8</v>
      </c>
      <c r="F745" s="6" t="s">
        <v>25</v>
      </c>
      <c r="G745" s="6" t="s">
        <v>770</v>
      </c>
      <c r="H745" s="59" t="e">
        <f>((Tablo1[[#This Row],[Esans Fiyat]]/#REF!*Tablo1[[#This Row],[Esans]]*100)+(#REF!/1000*Tablo1[[#This Row],[Su]]*100)+(#REF!/1000*Tablo1[[#This Row],[Alkol]]*100))*(#REF!/100)+#REF!</f>
        <v>#REF!</v>
      </c>
      <c r="I745" s="6" t="s">
        <v>772</v>
      </c>
      <c r="J745" s="53" t="e">
        <f>#REF!*Tablo1[[#This Row],[Esans]]</f>
        <v>#REF!</v>
      </c>
      <c r="K745" s="53" t="e">
        <f>#REF!*Tablo1[[#This Row],[Su]]</f>
        <v>#REF!</v>
      </c>
      <c r="L745" s="53" t="e">
        <f>#REF!*Tablo1[[#This Row],[Alkol]]</f>
        <v>#REF!</v>
      </c>
      <c r="M745" s="46"/>
      <c r="N745" s="53">
        <f>(Tablo1[[#This Row],[KALAN ESANS]]/Tablo1[[#This Row],[Esans]]*0.01)*(Tablo1[[#This Row],[Alkol]]*100)</f>
        <v>0</v>
      </c>
      <c r="O745" s="53">
        <f>(Tablo1[[#This Row],[KALAN ESANS]]/Tablo1[[#This Row],[Esans]]*0.01)*(Tablo1[[#This Row],[Su]]*100)</f>
        <v>0</v>
      </c>
      <c r="P745" s="53">
        <f>Tablo1[[#This Row],[KALAN ESANS]]+Tablo1[[#This Row],[ALKOL Mik]]+Tablo1[[#This Row],[SU Mik]]</f>
        <v>0</v>
      </c>
    </row>
    <row r="746" spans="1:16" ht="15" customHeight="1" x14ac:dyDescent="0.2">
      <c r="A746" s="20" t="s">
        <v>544</v>
      </c>
      <c r="B746" s="37"/>
      <c r="C746" s="3">
        <v>0.17</v>
      </c>
      <c r="D746" s="3">
        <v>0.02</v>
      </c>
      <c r="E746" s="9">
        <f t="shared" si="11"/>
        <v>0.80999999999999994</v>
      </c>
      <c r="F746" s="6" t="s">
        <v>25</v>
      </c>
      <c r="G746" s="6" t="s">
        <v>770</v>
      </c>
      <c r="H746" s="59" t="e">
        <f>((Tablo1[[#This Row],[Esans Fiyat]]/#REF!*Tablo1[[#This Row],[Esans]]*100)+(#REF!/1000*Tablo1[[#This Row],[Su]]*100)+(#REF!/1000*Tablo1[[#This Row],[Alkol]]*100))*(#REF!/100)+#REF!</f>
        <v>#REF!</v>
      </c>
      <c r="I746" s="6" t="s">
        <v>772</v>
      </c>
      <c r="J746" s="53" t="e">
        <f>#REF!*Tablo1[[#This Row],[Esans]]</f>
        <v>#REF!</v>
      </c>
      <c r="K746" s="53" t="e">
        <f>#REF!*Tablo1[[#This Row],[Su]]</f>
        <v>#REF!</v>
      </c>
      <c r="L746" s="53" t="e">
        <f>#REF!*Tablo1[[#This Row],[Alkol]]</f>
        <v>#REF!</v>
      </c>
      <c r="M746" s="46"/>
      <c r="N746" s="53">
        <f>(Tablo1[[#This Row],[KALAN ESANS]]/Tablo1[[#This Row],[Esans]]*0.01)*(Tablo1[[#This Row],[Alkol]]*100)</f>
        <v>0</v>
      </c>
      <c r="O746" s="53">
        <f>(Tablo1[[#This Row],[KALAN ESANS]]/Tablo1[[#This Row],[Esans]]*0.01)*(Tablo1[[#This Row],[Su]]*100)</f>
        <v>0</v>
      </c>
      <c r="P746" s="53">
        <f>Tablo1[[#This Row],[KALAN ESANS]]+Tablo1[[#This Row],[ALKOL Mik]]+Tablo1[[#This Row],[SU Mik]]</f>
        <v>0</v>
      </c>
    </row>
    <row r="747" spans="1:16" ht="15" customHeight="1" x14ac:dyDescent="0.2">
      <c r="A747" s="20" t="s">
        <v>543</v>
      </c>
      <c r="B747" s="37"/>
      <c r="C747" s="3">
        <v>0.17</v>
      </c>
      <c r="D747" s="3">
        <v>0.02</v>
      </c>
      <c r="E747" s="9">
        <f t="shared" si="11"/>
        <v>0.80999999999999994</v>
      </c>
      <c r="F747" s="6" t="s">
        <v>25</v>
      </c>
      <c r="G747" s="6" t="s">
        <v>770</v>
      </c>
      <c r="H747" s="59" t="e">
        <f>((Tablo1[[#This Row],[Esans Fiyat]]/#REF!*Tablo1[[#This Row],[Esans]]*100)+(#REF!/1000*Tablo1[[#This Row],[Su]]*100)+(#REF!/1000*Tablo1[[#This Row],[Alkol]]*100))*(#REF!/100)+#REF!</f>
        <v>#REF!</v>
      </c>
      <c r="I747" s="6" t="s">
        <v>772</v>
      </c>
      <c r="J747" s="53" t="e">
        <f>#REF!*Tablo1[[#This Row],[Esans]]</f>
        <v>#REF!</v>
      </c>
      <c r="K747" s="53" t="e">
        <f>#REF!*Tablo1[[#This Row],[Su]]</f>
        <v>#REF!</v>
      </c>
      <c r="L747" s="53" t="e">
        <f>#REF!*Tablo1[[#This Row],[Alkol]]</f>
        <v>#REF!</v>
      </c>
      <c r="M747" s="46"/>
      <c r="N747" s="53">
        <f>(Tablo1[[#This Row],[KALAN ESANS]]/Tablo1[[#This Row],[Esans]]*0.01)*(Tablo1[[#This Row],[Alkol]]*100)</f>
        <v>0</v>
      </c>
      <c r="O747" s="53">
        <f>(Tablo1[[#This Row],[KALAN ESANS]]/Tablo1[[#This Row],[Esans]]*0.01)*(Tablo1[[#This Row],[Su]]*100)</f>
        <v>0</v>
      </c>
      <c r="P747" s="53">
        <f>Tablo1[[#This Row],[KALAN ESANS]]+Tablo1[[#This Row],[ALKOL Mik]]+Tablo1[[#This Row],[SU Mik]]</f>
        <v>0</v>
      </c>
    </row>
    <row r="748" spans="1:16" ht="15" customHeight="1" x14ac:dyDescent="0.2">
      <c r="A748" s="20" t="s">
        <v>540</v>
      </c>
      <c r="B748" s="37"/>
      <c r="C748" s="3">
        <v>0.2</v>
      </c>
      <c r="D748" s="3">
        <v>0.02</v>
      </c>
      <c r="E748" s="9">
        <f t="shared" si="11"/>
        <v>0.78</v>
      </c>
      <c r="F748" s="6" t="s">
        <v>25</v>
      </c>
      <c r="G748" s="6" t="s">
        <v>770</v>
      </c>
      <c r="H748" s="59" t="e">
        <f>((Tablo1[[#This Row],[Esans Fiyat]]/#REF!*Tablo1[[#This Row],[Esans]]*100)+(#REF!/1000*Tablo1[[#This Row],[Su]]*100)+(#REF!/1000*Tablo1[[#This Row],[Alkol]]*100))*(#REF!/100)+#REF!</f>
        <v>#REF!</v>
      </c>
      <c r="I748" s="6" t="s">
        <v>778</v>
      </c>
      <c r="J748" s="53" t="e">
        <f>#REF!*Tablo1[[#This Row],[Esans]]</f>
        <v>#REF!</v>
      </c>
      <c r="K748" s="53" t="e">
        <f>#REF!*Tablo1[[#This Row],[Su]]</f>
        <v>#REF!</v>
      </c>
      <c r="L748" s="53" t="e">
        <f>#REF!*Tablo1[[#This Row],[Alkol]]</f>
        <v>#REF!</v>
      </c>
      <c r="M748" s="46"/>
      <c r="N748" s="53">
        <f>(Tablo1[[#This Row],[KALAN ESANS]]/Tablo1[[#This Row],[Esans]]*0.01)*(Tablo1[[#This Row],[Alkol]]*100)</f>
        <v>0</v>
      </c>
      <c r="O748" s="53">
        <f>(Tablo1[[#This Row],[KALAN ESANS]]/Tablo1[[#This Row],[Esans]]*0.01)*(Tablo1[[#This Row],[Su]]*100)</f>
        <v>0</v>
      </c>
      <c r="P748" s="53">
        <f>Tablo1[[#This Row],[KALAN ESANS]]+Tablo1[[#This Row],[ALKOL Mik]]+Tablo1[[#This Row],[SU Mik]]</f>
        <v>0</v>
      </c>
    </row>
    <row r="749" spans="1:16" ht="15" customHeight="1" x14ac:dyDescent="0.2">
      <c r="A749" s="20" t="s">
        <v>552</v>
      </c>
      <c r="B749" s="37"/>
      <c r="C749" s="3">
        <v>0.2</v>
      </c>
      <c r="D749" s="3">
        <v>0.02</v>
      </c>
      <c r="E749" s="9">
        <f t="shared" si="11"/>
        <v>0.78</v>
      </c>
      <c r="F749" s="6" t="s">
        <v>25</v>
      </c>
      <c r="G749" s="6" t="s">
        <v>770</v>
      </c>
      <c r="H749" s="59" t="e">
        <f>((Tablo1[[#This Row],[Esans Fiyat]]/#REF!*Tablo1[[#This Row],[Esans]]*100)+(#REF!/1000*Tablo1[[#This Row],[Su]]*100)+(#REF!/1000*Tablo1[[#This Row],[Alkol]]*100))*(#REF!/100)+#REF!</f>
        <v>#REF!</v>
      </c>
      <c r="I749" s="6" t="s">
        <v>776</v>
      </c>
      <c r="J749" s="53" t="e">
        <f>#REF!*Tablo1[[#This Row],[Esans]]</f>
        <v>#REF!</v>
      </c>
      <c r="K749" s="53" t="e">
        <f>#REF!*Tablo1[[#This Row],[Su]]</f>
        <v>#REF!</v>
      </c>
      <c r="L749" s="53" t="e">
        <f>#REF!*Tablo1[[#This Row],[Alkol]]</f>
        <v>#REF!</v>
      </c>
      <c r="M749" s="46"/>
      <c r="N749" s="53">
        <f>(Tablo1[[#This Row],[KALAN ESANS]]/Tablo1[[#This Row],[Esans]]*0.01)*(Tablo1[[#This Row],[Alkol]]*100)</f>
        <v>0</v>
      </c>
      <c r="O749" s="53">
        <f>(Tablo1[[#This Row],[KALAN ESANS]]/Tablo1[[#This Row],[Esans]]*0.01)*(Tablo1[[#This Row],[Su]]*100)</f>
        <v>0</v>
      </c>
      <c r="P749" s="53">
        <f>Tablo1[[#This Row],[KALAN ESANS]]+Tablo1[[#This Row],[ALKOL Mik]]+Tablo1[[#This Row],[SU Mik]]</f>
        <v>0</v>
      </c>
    </row>
    <row r="750" spans="1:16" ht="15" customHeight="1" x14ac:dyDescent="0.2">
      <c r="A750" s="20" t="s">
        <v>535</v>
      </c>
      <c r="B750" s="37"/>
      <c r="C750" s="3">
        <v>0.2</v>
      </c>
      <c r="D750" s="3">
        <v>0.02</v>
      </c>
      <c r="E750" s="9">
        <f t="shared" si="11"/>
        <v>0.78</v>
      </c>
      <c r="F750" s="6" t="s">
        <v>25</v>
      </c>
      <c r="G750" s="6" t="s">
        <v>770</v>
      </c>
      <c r="H750" s="59" t="e">
        <f>((Tablo1[[#This Row],[Esans Fiyat]]/#REF!*Tablo1[[#This Row],[Esans]]*100)+(#REF!/1000*Tablo1[[#This Row],[Su]]*100)+(#REF!/1000*Tablo1[[#This Row],[Alkol]]*100))*(#REF!/100)+#REF!</f>
        <v>#REF!</v>
      </c>
      <c r="I750" s="6" t="s">
        <v>776</v>
      </c>
      <c r="J750" s="53" t="e">
        <f>#REF!*Tablo1[[#This Row],[Esans]]</f>
        <v>#REF!</v>
      </c>
      <c r="K750" s="53" t="e">
        <f>#REF!*Tablo1[[#This Row],[Su]]</f>
        <v>#REF!</v>
      </c>
      <c r="L750" s="53" t="e">
        <f>#REF!*Tablo1[[#This Row],[Alkol]]</f>
        <v>#REF!</v>
      </c>
      <c r="M750" s="46"/>
      <c r="N750" s="53">
        <f>(Tablo1[[#This Row],[KALAN ESANS]]/Tablo1[[#This Row],[Esans]]*0.01)*(Tablo1[[#This Row],[Alkol]]*100)</f>
        <v>0</v>
      </c>
      <c r="O750" s="53">
        <f>(Tablo1[[#This Row],[KALAN ESANS]]/Tablo1[[#This Row],[Esans]]*0.01)*(Tablo1[[#This Row],[Su]]*100)</f>
        <v>0</v>
      </c>
      <c r="P750" s="53">
        <f>Tablo1[[#This Row],[KALAN ESANS]]+Tablo1[[#This Row],[ALKOL Mik]]+Tablo1[[#This Row],[SU Mik]]</f>
        <v>0</v>
      </c>
    </row>
    <row r="751" spans="1:16" ht="15" customHeight="1" x14ac:dyDescent="0.2">
      <c r="A751" s="20" t="s">
        <v>546</v>
      </c>
      <c r="B751" s="37"/>
      <c r="C751" s="3">
        <v>0.2</v>
      </c>
      <c r="D751" s="3">
        <v>0</v>
      </c>
      <c r="E751" s="9">
        <f t="shared" si="11"/>
        <v>0.8</v>
      </c>
      <c r="F751" s="6" t="s">
        <v>25</v>
      </c>
      <c r="G751" s="6" t="s">
        <v>770</v>
      </c>
      <c r="H751" s="59" t="e">
        <f>((Tablo1[[#This Row],[Esans Fiyat]]/#REF!*Tablo1[[#This Row],[Esans]]*100)+(#REF!/1000*Tablo1[[#This Row],[Su]]*100)+(#REF!/1000*Tablo1[[#This Row],[Alkol]]*100))*(#REF!/100)+#REF!</f>
        <v>#REF!</v>
      </c>
      <c r="I751" s="6" t="s">
        <v>776</v>
      </c>
      <c r="J751" s="53" t="e">
        <f>#REF!*Tablo1[[#This Row],[Esans]]</f>
        <v>#REF!</v>
      </c>
      <c r="K751" s="53" t="e">
        <f>#REF!*Tablo1[[#This Row],[Su]]</f>
        <v>#REF!</v>
      </c>
      <c r="L751" s="53" t="e">
        <f>#REF!*Tablo1[[#This Row],[Alkol]]</f>
        <v>#REF!</v>
      </c>
      <c r="M751" s="46"/>
      <c r="N751" s="53">
        <f>(Tablo1[[#This Row],[KALAN ESANS]]/Tablo1[[#This Row],[Esans]]*0.01)*(Tablo1[[#This Row],[Alkol]]*100)</f>
        <v>0</v>
      </c>
      <c r="O751" s="53">
        <f>(Tablo1[[#This Row],[KALAN ESANS]]/Tablo1[[#This Row],[Esans]]*0.01)*(Tablo1[[#This Row],[Su]]*100)</f>
        <v>0</v>
      </c>
      <c r="P751" s="53">
        <f>Tablo1[[#This Row],[KALAN ESANS]]+Tablo1[[#This Row],[ALKOL Mik]]+Tablo1[[#This Row],[SU Mik]]</f>
        <v>0</v>
      </c>
    </row>
    <row r="752" spans="1:16" ht="15" customHeight="1" x14ac:dyDescent="0.2">
      <c r="A752" s="20" t="s">
        <v>551</v>
      </c>
      <c r="B752" s="37"/>
      <c r="C752" s="3">
        <v>0.2</v>
      </c>
      <c r="D752" s="3">
        <v>0.02</v>
      </c>
      <c r="E752" s="9">
        <f t="shared" si="11"/>
        <v>0.78</v>
      </c>
      <c r="F752" s="6" t="s">
        <v>25</v>
      </c>
      <c r="G752" s="6" t="s">
        <v>770</v>
      </c>
      <c r="H752" s="59" t="e">
        <f>((Tablo1[[#This Row],[Esans Fiyat]]/#REF!*Tablo1[[#This Row],[Esans]]*100)+(#REF!/1000*Tablo1[[#This Row],[Su]]*100)+(#REF!/1000*Tablo1[[#This Row],[Alkol]]*100))*(#REF!/100)+#REF!</f>
        <v>#REF!</v>
      </c>
      <c r="I752" s="6" t="s">
        <v>776</v>
      </c>
      <c r="J752" s="53" t="e">
        <f>#REF!*Tablo1[[#This Row],[Esans]]</f>
        <v>#REF!</v>
      </c>
      <c r="K752" s="53" t="e">
        <f>#REF!*Tablo1[[#This Row],[Su]]</f>
        <v>#REF!</v>
      </c>
      <c r="L752" s="53" t="e">
        <f>#REF!*Tablo1[[#This Row],[Alkol]]</f>
        <v>#REF!</v>
      </c>
      <c r="M752" s="46"/>
      <c r="N752" s="53">
        <f>(Tablo1[[#This Row],[KALAN ESANS]]/Tablo1[[#This Row],[Esans]]*0.01)*(Tablo1[[#This Row],[Alkol]]*100)</f>
        <v>0</v>
      </c>
      <c r="O752" s="53">
        <f>(Tablo1[[#This Row],[KALAN ESANS]]/Tablo1[[#This Row],[Esans]]*0.01)*(Tablo1[[#This Row],[Su]]*100)</f>
        <v>0</v>
      </c>
      <c r="P752" s="53">
        <f>Tablo1[[#This Row],[KALAN ESANS]]+Tablo1[[#This Row],[ALKOL Mik]]+Tablo1[[#This Row],[SU Mik]]</f>
        <v>0</v>
      </c>
    </row>
    <row r="753" spans="1:16" ht="15" customHeight="1" x14ac:dyDescent="0.2">
      <c r="A753" s="20" t="s">
        <v>537</v>
      </c>
      <c r="B753" s="37"/>
      <c r="C753" s="3">
        <v>0.2</v>
      </c>
      <c r="D753" s="3">
        <v>0.02</v>
      </c>
      <c r="E753" s="9">
        <f t="shared" si="11"/>
        <v>0.78</v>
      </c>
      <c r="F753" s="6" t="s">
        <v>25</v>
      </c>
      <c r="G753" s="6" t="s">
        <v>770</v>
      </c>
      <c r="H753" s="59" t="e">
        <f>((Tablo1[[#This Row],[Esans Fiyat]]/#REF!*Tablo1[[#This Row],[Esans]]*100)+(#REF!/1000*Tablo1[[#This Row],[Su]]*100)+(#REF!/1000*Tablo1[[#This Row],[Alkol]]*100))*(#REF!/100)+#REF!</f>
        <v>#REF!</v>
      </c>
      <c r="I753" s="6" t="s">
        <v>776</v>
      </c>
      <c r="J753" s="53" t="e">
        <f>#REF!*Tablo1[[#This Row],[Esans]]</f>
        <v>#REF!</v>
      </c>
      <c r="K753" s="53" t="e">
        <f>#REF!*Tablo1[[#This Row],[Su]]</f>
        <v>#REF!</v>
      </c>
      <c r="L753" s="53" t="e">
        <f>#REF!*Tablo1[[#This Row],[Alkol]]</f>
        <v>#REF!</v>
      </c>
      <c r="M753" s="46"/>
      <c r="N753" s="53">
        <f>(Tablo1[[#This Row],[KALAN ESANS]]/Tablo1[[#This Row],[Esans]]*0.01)*(Tablo1[[#This Row],[Alkol]]*100)</f>
        <v>0</v>
      </c>
      <c r="O753" s="53">
        <f>(Tablo1[[#This Row],[KALAN ESANS]]/Tablo1[[#This Row],[Esans]]*0.01)*(Tablo1[[#This Row],[Su]]*100)</f>
        <v>0</v>
      </c>
      <c r="P753" s="53">
        <f>Tablo1[[#This Row],[KALAN ESANS]]+Tablo1[[#This Row],[ALKOL Mik]]+Tablo1[[#This Row],[SU Mik]]</f>
        <v>0</v>
      </c>
    </row>
    <row r="754" spans="1:16" ht="15" customHeight="1" x14ac:dyDescent="0.2">
      <c r="A754" s="20" t="s">
        <v>550</v>
      </c>
      <c r="B754" s="37"/>
      <c r="C754" s="3">
        <v>0.2</v>
      </c>
      <c r="D754" s="3">
        <v>0.02</v>
      </c>
      <c r="E754" s="9">
        <f t="shared" si="11"/>
        <v>0.78</v>
      </c>
      <c r="F754" s="6" t="s">
        <v>25</v>
      </c>
      <c r="G754" s="6" t="s">
        <v>770</v>
      </c>
      <c r="H754" s="59" t="e">
        <f>((Tablo1[[#This Row],[Esans Fiyat]]/#REF!*Tablo1[[#This Row],[Esans]]*100)+(#REF!/1000*Tablo1[[#This Row],[Su]]*100)+(#REF!/1000*Tablo1[[#This Row],[Alkol]]*100))*(#REF!/100)+#REF!</f>
        <v>#REF!</v>
      </c>
      <c r="I754" s="6" t="s">
        <v>776</v>
      </c>
      <c r="J754" s="53" t="e">
        <f>#REF!*Tablo1[[#This Row],[Esans]]</f>
        <v>#REF!</v>
      </c>
      <c r="K754" s="53" t="e">
        <f>#REF!*Tablo1[[#This Row],[Su]]</f>
        <v>#REF!</v>
      </c>
      <c r="L754" s="53" t="e">
        <f>#REF!*Tablo1[[#This Row],[Alkol]]</f>
        <v>#REF!</v>
      </c>
      <c r="M754" s="46"/>
      <c r="N754" s="53">
        <f>(Tablo1[[#This Row],[KALAN ESANS]]/Tablo1[[#This Row],[Esans]]*0.01)*(Tablo1[[#This Row],[Alkol]]*100)</f>
        <v>0</v>
      </c>
      <c r="O754" s="53">
        <f>(Tablo1[[#This Row],[KALAN ESANS]]/Tablo1[[#This Row],[Esans]]*0.01)*(Tablo1[[#This Row],[Su]]*100)</f>
        <v>0</v>
      </c>
      <c r="P754" s="53">
        <f>Tablo1[[#This Row],[KALAN ESANS]]+Tablo1[[#This Row],[ALKOL Mik]]+Tablo1[[#This Row],[SU Mik]]</f>
        <v>0</v>
      </c>
    </row>
    <row r="755" spans="1:16" ht="15" customHeight="1" x14ac:dyDescent="0.2">
      <c r="A755" s="20" t="s">
        <v>548</v>
      </c>
      <c r="B755" s="37"/>
      <c r="C755" s="3">
        <v>0.2</v>
      </c>
      <c r="D755" s="3">
        <v>0.02</v>
      </c>
      <c r="E755" s="9">
        <f t="shared" si="11"/>
        <v>0.78</v>
      </c>
      <c r="F755" s="6" t="s">
        <v>25</v>
      </c>
      <c r="G755" s="6" t="s">
        <v>770</v>
      </c>
      <c r="H755" s="59" t="e">
        <f>((Tablo1[[#This Row],[Esans Fiyat]]/#REF!*Tablo1[[#This Row],[Esans]]*100)+(#REF!/1000*Tablo1[[#This Row],[Su]]*100)+(#REF!/1000*Tablo1[[#This Row],[Alkol]]*100))*(#REF!/100)+#REF!</f>
        <v>#REF!</v>
      </c>
      <c r="I755" s="6" t="s">
        <v>772</v>
      </c>
      <c r="J755" s="53" t="e">
        <f>#REF!*Tablo1[[#This Row],[Esans]]</f>
        <v>#REF!</v>
      </c>
      <c r="K755" s="53" t="e">
        <f>#REF!*Tablo1[[#This Row],[Su]]</f>
        <v>#REF!</v>
      </c>
      <c r="L755" s="53" t="e">
        <f>#REF!*Tablo1[[#This Row],[Alkol]]</f>
        <v>#REF!</v>
      </c>
      <c r="M755" s="46"/>
      <c r="N755" s="53">
        <f>(Tablo1[[#This Row],[KALAN ESANS]]/Tablo1[[#This Row],[Esans]]*0.01)*(Tablo1[[#This Row],[Alkol]]*100)</f>
        <v>0</v>
      </c>
      <c r="O755" s="53">
        <f>(Tablo1[[#This Row],[KALAN ESANS]]/Tablo1[[#This Row],[Esans]]*0.01)*(Tablo1[[#This Row],[Su]]*100)</f>
        <v>0</v>
      </c>
      <c r="P755" s="53">
        <f>Tablo1[[#This Row],[KALAN ESANS]]+Tablo1[[#This Row],[ALKOL Mik]]+Tablo1[[#This Row],[SU Mik]]</f>
        <v>0</v>
      </c>
    </row>
    <row r="756" spans="1:16" ht="15" customHeight="1" x14ac:dyDescent="0.2">
      <c r="A756" s="20" t="s">
        <v>545</v>
      </c>
      <c r="B756" s="37"/>
      <c r="C756" s="3">
        <v>0.2</v>
      </c>
      <c r="D756" s="3">
        <v>0.02</v>
      </c>
      <c r="E756" s="9">
        <f t="shared" si="11"/>
        <v>0.78</v>
      </c>
      <c r="F756" s="6" t="s">
        <v>25</v>
      </c>
      <c r="G756" s="6" t="s">
        <v>770</v>
      </c>
      <c r="H756" s="59" t="e">
        <f>((Tablo1[[#This Row],[Esans Fiyat]]/#REF!*Tablo1[[#This Row],[Esans]]*100)+(#REF!/1000*Tablo1[[#This Row],[Su]]*100)+(#REF!/1000*Tablo1[[#This Row],[Alkol]]*100))*(#REF!/100)+#REF!</f>
        <v>#REF!</v>
      </c>
      <c r="I756" s="6" t="s">
        <v>776</v>
      </c>
      <c r="J756" s="53" t="e">
        <f>#REF!*Tablo1[[#This Row],[Esans]]</f>
        <v>#REF!</v>
      </c>
      <c r="K756" s="53" t="e">
        <f>#REF!*Tablo1[[#This Row],[Su]]</f>
        <v>#REF!</v>
      </c>
      <c r="L756" s="53" t="e">
        <f>#REF!*Tablo1[[#This Row],[Alkol]]</f>
        <v>#REF!</v>
      </c>
      <c r="M756" s="46"/>
      <c r="N756" s="53">
        <f>(Tablo1[[#This Row],[KALAN ESANS]]/Tablo1[[#This Row],[Esans]]*0.01)*(Tablo1[[#This Row],[Alkol]]*100)</f>
        <v>0</v>
      </c>
      <c r="O756" s="53">
        <f>(Tablo1[[#This Row],[KALAN ESANS]]/Tablo1[[#This Row],[Esans]]*0.01)*(Tablo1[[#This Row],[Su]]*100)</f>
        <v>0</v>
      </c>
      <c r="P756" s="53">
        <f>Tablo1[[#This Row],[KALAN ESANS]]+Tablo1[[#This Row],[ALKOL Mik]]+Tablo1[[#This Row],[SU Mik]]</f>
        <v>0</v>
      </c>
    </row>
    <row r="757" spans="1:16" ht="15" customHeight="1" x14ac:dyDescent="0.2">
      <c r="A757" s="20" t="s">
        <v>542</v>
      </c>
      <c r="B757" s="37"/>
      <c r="C757" s="3">
        <v>0.18</v>
      </c>
      <c r="D757" s="3">
        <v>0</v>
      </c>
      <c r="E757" s="9">
        <f t="shared" si="11"/>
        <v>0.82000000000000006</v>
      </c>
      <c r="F757" s="6" t="s">
        <v>25</v>
      </c>
      <c r="G757" s="6" t="s">
        <v>770</v>
      </c>
      <c r="H757" s="59" t="e">
        <f>((Tablo1[[#This Row],[Esans Fiyat]]/#REF!*Tablo1[[#This Row],[Esans]]*100)+(#REF!/1000*Tablo1[[#This Row],[Su]]*100)+(#REF!/1000*Tablo1[[#This Row],[Alkol]]*100))*(#REF!/100)+#REF!</f>
        <v>#REF!</v>
      </c>
      <c r="I757" s="6" t="s">
        <v>772</v>
      </c>
      <c r="J757" s="53" t="e">
        <f>#REF!*Tablo1[[#This Row],[Esans]]</f>
        <v>#REF!</v>
      </c>
      <c r="K757" s="53" t="e">
        <f>#REF!*Tablo1[[#This Row],[Su]]</f>
        <v>#REF!</v>
      </c>
      <c r="L757" s="53" t="e">
        <f>#REF!*Tablo1[[#This Row],[Alkol]]</f>
        <v>#REF!</v>
      </c>
      <c r="M757" s="46"/>
      <c r="N757" s="53">
        <f>(Tablo1[[#This Row],[KALAN ESANS]]/Tablo1[[#This Row],[Esans]]*0.01)*(Tablo1[[#This Row],[Alkol]]*100)</f>
        <v>0</v>
      </c>
      <c r="O757" s="53">
        <f>(Tablo1[[#This Row],[KALAN ESANS]]/Tablo1[[#This Row],[Esans]]*0.01)*(Tablo1[[#This Row],[Su]]*100)</f>
        <v>0</v>
      </c>
      <c r="P757" s="53">
        <f>Tablo1[[#This Row],[KALAN ESANS]]+Tablo1[[#This Row],[ALKOL Mik]]+Tablo1[[#This Row],[SU Mik]]</f>
        <v>0</v>
      </c>
    </row>
    <row r="758" spans="1:16" ht="15" customHeight="1" x14ac:dyDescent="0.2">
      <c r="A758" s="20" t="s">
        <v>541</v>
      </c>
      <c r="B758" s="37"/>
      <c r="C758" s="3">
        <v>0.17</v>
      </c>
      <c r="D758" s="3">
        <v>0.02</v>
      </c>
      <c r="E758" s="9">
        <f t="shared" si="11"/>
        <v>0.80999999999999994</v>
      </c>
      <c r="F758" s="6" t="s">
        <v>25</v>
      </c>
      <c r="G758" s="6" t="s">
        <v>770</v>
      </c>
      <c r="H758" s="59" t="e">
        <f>((Tablo1[[#This Row],[Esans Fiyat]]/#REF!*Tablo1[[#This Row],[Esans]]*100)+(#REF!/1000*Tablo1[[#This Row],[Su]]*100)+(#REF!/1000*Tablo1[[#This Row],[Alkol]]*100))*(#REF!/100)+#REF!</f>
        <v>#REF!</v>
      </c>
      <c r="I758" s="6" t="s">
        <v>776</v>
      </c>
      <c r="J758" s="53" t="e">
        <f>#REF!*Tablo1[[#This Row],[Esans]]</f>
        <v>#REF!</v>
      </c>
      <c r="K758" s="53" t="e">
        <f>#REF!*Tablo1[[#This Row],[Su]]</f>
        <v>#REF!</v>
      </c>
      <c r="L758" s="53" t="e">
        <f>#REF!*Tablo1[[#This Row],[Alkol]]</f>
        <v>#REF!</v>
      </c>
      <c r="M758" s="46"/>
      <c r="N758" s="53">
        <f>(Tablo1[[#This Row],[KALAN ESANS]]/Tablo1[[#This Row],[Esans]]*0.01)*(Tablo1[[#This Row],[Alkol]]*100)</f>
        <v>0</v>
      </c>
      <c r="O758" s="53">
        <f>(Tablo1[[#This Row],[KALAN ESANS]]/Tablo1[[#This Row],[Esans]]*0.01)*(Tablo1[[#This Row],[Su]]*100)</f>
        <v>0</v>
      </c>
      <c r="P758" s="53">
        <f>Tablo1[[#This Row],[KALAN ESANS]]+Tablo1[[#This Row],[ALKOL Mik]]+Tablo1[[#This Row],[SU Mik]]</f>
        <v>0</v>
      </c>
    </row>
    <row r="759" spans="1:16" ht="15" customHeight="1" x14ac:dyDescent="0.2">
      <c r="A759" s="20" t="s">
        <v>536</v>
      </c>
      <c r="B759" s="37"/>
      <c r="C759" s="3">
        <v>0.2</v>
      </c>
      <c r="D759" s="3">
        <v>0</v>
      </c>
      <c r="E759" s="9">
        <f t="shared" si="11"/>
        <v>0.8</v>
      </c>
      <c r="F759" s="6" t="s">
        <v>25</v>
      </c>
      <c r="G759" s="6" t="s">
        <v>770</v>
      </c>
      <c r="H759" s="59" t="e">
        <f>((Tablo1[[#This Row],[Esans Fiyat]]/#REF!*Tablo1[[#This Row],[Esans]]*100)+(#REF!/1000*Tablo1[[#This Row],[Su]]*100)+(#REF!/1000*Tablo1[[#This Row],[Alkol]]*100))*(#REF!/100)+#REF!</f>
        <v>#REF!</v>
      </c>
      <c r="I759" s="6" t="s">
        <v>776</v>
      </c>
      <c r="J759" s="53" t="e">
        <f>#REF!*Tablo1[[#This Row],[Esans]]</f>
        <v>#REF!</v>
      </c>
      <c r="K759" s="53" t="e">
        <f>#REF!*Tablo1[[#This Row],[Su]]</f>
        <v>#REF!</v>
      </c>
      <c r="L759" s="53" t="e">
        <f>#REF!*Tablo1[[#This Row],[Alkol]]</f>
        <v>#REF!</v>
      </c>
      <c r="M759" s="46"/>
      <c r="N759" s="53">
        <f>(Tablo1[[#This Row],[KALAN ESANS]]/Tablo1[[#This Row],[Esans]]*0.01)*(Tablo1[[#This Row],[Alkol]]*100)</f>
        <v>0</v>
      </c>
      <c r="O759" s="53">
        <f>(Tablo1[[#This Row],[KALAN ESANS]]/Tablo1[[#This Row],[Esans]]*0.01)*(Tablo1[[#This Row],[Su]]*100)</f>
        <v>0</v>
      </c>
      <c r="P759" s="53">
        <f>Tablo1[[#This Row],[KALAN ESANS]]+Tablo1[[#This Row],[ALKOL Mik]]+Tablo1[[#This Row],[SU Mik]]</f>
        <v>0</v>
      </c>
    </row>
    <row r="760" spans="1:16" ht="15" customHeight="1" x14ac:dyDescent="0.2">
      <c r="A760" s="20" t="s">
        <v>539</v>
      </c>
      <c r="B760" s="37"/>
      <c r="C760" s="3">
        <v>0.2</v>
      </c>
      <c r="D760" s="3">
        <v>0.02</v>
      </c>
      <c r="E760" s="9">
        <f t="shared" si="11"/>
        <v>0.78</v>
      </c>
      <c r="F760" s="6" t="s">
        <v>25</v>
      </c>
      <c r="G760" s="6" t="s">
        <v>770</v>
      </c>
      <c r="H760" s="59" t="e">
        <f>((Tablo1[[#This Row],[Esans Fiyat]]/#REF!*Tablo1[[#This Row],[Esans]]*100)+(#REF!/1000*Tablo1[[#This Row],[Su]]*100)+(#REF!/1000*Tablo1[[#This Row],[Alkol]]*100))*(#REF!/100)+#REF!</f>
        <v>#REF!</v>
      </c>
      <c r="I760" s="6" t="s">
        <v>776</v>
      </c>
      <c r="J760" s="53" t="e">
        <f>#REF!*Tablo1[[#This Row],[Esans]]</f>
        <v>#REF!</v>
      </c>
      <c r="K760" s="53" t="e">
        <f>#REF!*Tablo1[[#This Row],[Su]]</f>
        <v>#REF!</v>
      </c>
      <c r="L760" s="53" t="e">
        <f>#REF!*Tablo1[[#This Row],[Alkol]]</f>
        <v>#REF!</v>
      </c>
      <c r="M760" s="46"/>
      <c r="N760" s="53">
        <f>(Tablo1[[#This Row],[KALAN ESANS]]/Tablo1[[#This Row],[Esans]]*0.01)*(Tablo1[[#This Row],[Alkol]]*100)</f>
        <v>0</v>
      </c>
      <c r="O760" s="53">
        <f>(Tablo1[[#This Row],[KALAN ESANS]]/Tablo1[[#This Row],[Esans]]*0.01)*(Tablo1[[#This Row],[Su]]*100)</f>
        <v>0</v>
      </c>
      <c r="P760" s="53">
        <f>Tablo1[[#This Row],[KALAN ESANS]]+Tablo1[[#This Row],[ALKOL Mik]]+Tablo1[[#This Row],[SU Mik]]</f>
        <v>0</v>
      </c>
    </row>
    <row r="761" spans="1:16" ht="15" customHeight="1" x14ac:dyDescent="0.2">
      <c r="A761" s="21" t="s">
        <v>533</v>
      </c>
      <c r="B761" s="38"/>
      <c r="C761" s="22">
        <v>0.2</v>
      </c>
      <c r="D761" s="22">
        <v>0.02</v>
      </c>
      <c r="E761" s="23">
        <f t="shared" si="11"/>
        <v>0.78</v>
      </c>
      <c r="F761" s="24" t="s">
        <v>25</v>
      </c>
      <c r="G761" s="24" t="s">
        <v>770</v>
      </c>
      <c r="H761" s="60" t="e">
        <f>((Tablo1[[#This Row],[Esans Fiyat]]/#REF!*Tablo1[[#This Row],[Esans]]*100)+(#REF!/1000*Tablo1[[#This Row],[Su]]*100)+(#REF!/1000*Tablo1[[#This Row],[Alkol]]*100))*(#REF!/100)+#REF!</f>
        <v>#REF!</v>
      </c>
      <c r="I761" s="24" t="s">
        <v>782</v>
      </c>
      <c r="J761" s="54" t="e">
        <f>#REF!*Tablo1[[#This Row],[Esans]]</f>
        <v>#REF!</v>
      </c>
      <c r="K761" s="54" t="e">
        <f>#REF!*Tablo1[[#This Row],[Su]]</f>
        <v>#REF!</v>
      </c>
      <c r="L761" s="54" t="e">
        <f>#REF!*Tablo1[[#This Row],[Alkol]]</f>
        <v>#REF!</v>
      </c>
      <c r="M761" s="47"/>
      <c r="N761" s="54">
        <f>(Tablo1[[#This Row],[KALAN ESANS]]/Tablo1[[#This Row],[Esans]]*0.01)*(Tablo1[[#This Row],[Alkol]]*100)</f>
        <v>0</v>
      </c>
      <c r="O761" s="54">
        <f>(Tablo1[[#This Row],[KALAN ESANS]]/Tablo1[[#This Row],[Esans]]*0.01)*(Tablo1[[#This Row],[Su]]*100)</f>
        <v>0</v>
      </c>
      <c r="P761" s="54">
        <f>Tablo1[[#This Row],[KALAN ESANS]]+Tablo1[[#This Row],[ALKOL Mik]]+Tablo1[[#This Row],[SU Mik]]</f>
        <v>0</v>
      </c>
    </row>
    <row r="762" spans="1:16" s="11" customFormat="1" ht="15" customHeight="1" x14ac:dyDescent="0.2">
      <c r="B762" s="39"/>
      <c r="C762" s="15"/>
      <c r="D762" s="15"/>
      <c r="E762" s="16"/>
      <c r="F762" s="17"/>
      <c r="G762" s="17"/>
      <c r="H762" s="61"/>
      <c r="I762" s="17"/>
      <c r="J762" s="41"/>
      <c r="K762" s="41"/>
      <c r="L762" s="41"/>
      <c r="M762" s="48"/>
      <c r="N762" s="41"/>
      <c r="O762" s="41"/>
      <c r="P762" s="41"/>
    </row>
    <row r="763" spans="1:16" s="11" customFormat="1" ht="15" customHeight="1" x14ac:dyDescent="0.2">
      <c r="B763" s="39"/>
      <c r="C763" s="15"/>
      <c r="D763" s="15"/>
      <c r="E763" s="16"/>
      <c r="F763" s="17"/>
      <c r="G763" s="17"/>
      <c r="H763" s="61"/>
      <c r="I763" s="17"/>
      <c r="J763" s="41"/>
      <c r="K763" s="41"/>
      <c r="L763" s="41"/>
      <c r="M763" s="48"/>
      <c r="N763" s="41"/>
      <c r="O763" s="41"/>
      <c r="P763" s="41"/>
    </row>
    <row r="764" spans="1:16" s="11" customFormat="1" ht="15" customHeight="1" x14ac:dyDescent="0.2">
      <c r="B764" s="39"/>
      <c r="C764" s="15"/>
      <c r="D764" s="15"/>
      <c r="E764" s="16"/>
      <c r="F764" s="17"/>
      <c r="G764" s="17"/>
      <c r="H764" s="61"/>
      <c r="I764" s="17"/>
      <c r="J764" s="41"/>
      <c r="K764" s="41"/>
      <c r="L764" s="41"/>
      <c r="M764" s="48"/>
      <c r="N764" s="41"/>
      <c r="O764" s="41"/>
      <c r="P764" s="41"/>
    </row>
    <row r="765" spans="1:16" s="11" customFormat="1" ht="15" customHeight="1" x14ac:dyDescent="0.2">
      <c r="B765" s="39"/>
      <c r="C765" s="15"/>
      <c r="D765" s="15"/>
      <c r="E765" s="16"/>
      <c r="F765" s="17"/>
      <c r="G765" s="17"/>
      <c r="H765" s="61"/>
      <c r="I765" s="17"/>
      <c r="J765" s="41"/>
      <c r="K765" s="41"/>
      <c r="L765" s="41"/>
      <c r="M765" s="48"/>
      <c r="N765" s="41"/>
      <c r="O765" s="41"/>
      <c r="P765" s="41"/>
    </row>
    <row r="766" spans="1:16" s="11" customFormat="1" ht="15" customHeight="1" x14ac:dyDescent="0.2">
      <c r="B766" s="39"/>
      <c r="C766" s="15"/>
      <c r="D766" s="15"/>
      <c r="E766" s="16"/>
      <c r="F766" s="17"/>
      <c r="G766" s="17"/>
      <c r="H766" s="61"/>
      <c r="I766" s="17"/>
      <c r="J766" s="41"/>
      <c r="K766" s="41"/>
      <c r="L766" s="41"/>
      <c r="M766" s="48"/>
      <c r="N766" s="41"/>
      <c r="O766" s="41"/>
      <c r="P766" s="41"/>
    </row>
    <row r="767" spans="1:16" s="11" customFormat="1" ht="15" customHeight="1" x14ac:dyDescent="0.2">
      <c r="B767" s="39"/>
      <c r="C767" s="15"/>
      <c r="D767" s="15"/>
      <c r="E767" s="16"/>
      <c r="F767" s="17"/>
      <c r="G767" s="17"/>
      <c r="H767" s="61"/>
      <c r="I767" s="17"/>
      <c r="J767" s="41"/>
      <c r="K767" s="41"/>
      <c r="L767" s="41"/>
      <c r="M767" s="48"/>
      <c r="N767" s="41"/>
      <c r="O767" s="41"/>
      <c r="P767" s="41"/>
    </row>
    <row r="768" spans="1:16" s="11" customFormat="1" ht="15" customHeight="1" x14ac:dyDescent="0.2">
      <c r="B768" s="39"/>
      <c r="C768" s="15"/>
      <c r="D768" s="15"/>
      <c r="E768" s="16"/>
      <c r="F768" s="17"/>
      <c r="G768" s="17"/>
      <c r="H768" s="61"/>
      <c r="I768" s="17"/>
      <c r="J768" s="41"/>
      <c r="K768" s="41"/>
      <c r="L768" s="41"/>
      <c r="M768" s="48"/>
      <c r="N768" s="41"/>
      <c r="O768" s="41"/>
      <c r="P768" s="41"/>
    </row>
    <row r="769" spans="2:16" s="11" customFormat="1" ht="15" customHeight="1" x14ac:dyDescent="0.2">
      <c r="B769" s="39"/>
      <c r="C769" s="15"/>
      <c r="D769" s="15"/>
      <c r="E769" s="16"/>
      <c r="F769" s="17"/>
      <c r="G769" s="17"/>
      <c r="H769" s="61"/>
      <c r="I769" s="17"/>
      <c r="J769" s="41"/>
      <c r="K769" s="41"/>
      <c r="L769" s="41"/>
      <c r="M769" s="48"/>
      <c r="N769" s="41"/>
      <c r="O769" s="41"/>
      <c r="P769" s="41"/>
    </row>
    <row r="770" spans="2:16" s="11" customFormat="1" ht="15" customHeight="1" x14ac:dyDescent="0.2">
      <c r="B770" s="39"/>
      <c r="C770" s="15"/>
      <c r="D770" s="15"/>
      <c r="E770" s="16"/>
      <c r="F770" s="17"/>
      <c r="G770" s="17"/>
      <c r="H770" s="61"/>
      <c r="I770" s="17"/>
      <c r="J770" s="41"/>
      <c r="K770" s="41"/>
      <c r="L770" s="41"/>
      <c r="M770" s="48"/>
      <c r="N770" s="41"/>
      <c r="O770" s="41"/>
      <c r="P770" s="41"/>
    </row>
    <row r="771" spans="2:16" s="11" customFormat="1" ht="15" customHeight="1" x14ac:dyDescent="0.2">
      <c r="B771" s="39"/>
      <c r="C771" s="15"/>
      <c r="D771" s="15"/>
      <c r="E771" s="16"/>
      <c r="F771" s="17"/>
      <c r="G771" s="17"/>
      <c r="H771" s="61"/>
      <c r="I771" s="17"/>
      <c r="J771" s="41"/>
      <c r="K771" s="41"/>
      <c r="L771" s="41"/>
      <c r="M771" s="48"/>
      <c r="N771" s="41"/>
      <c r="O771" s="41"/>
      <c r="P771" s="41"/>
    </row>
    <row r="772" spans="2:16" s="11" customFormat="1" ht="15" customHeight="1" x14ac:dyDescent="0.2">
      <c r="B772" s="39"/>
      <c r="C772" s="15"/>
      <c r="D772" s="15"/>
      <c r="E772" s="16"/>
      <c r="F772" s="17"/>
      <c r="G772" s="17"/>
      <c r="H772" s="61"/>
      <c r="I772" s="17"/>
      <c r="J772" s="41"/>
      <c r="K772" s="41"/>
      <c r="L772" s="41"/>
      <c r="M772" s="48"/>
      <c r="N772" s="41"/>
      <c r="O772" s="41"/>
      <c r="P772" s="41"/>
    </row>
    <row r="773" spans="2:16" s="11" customFormat="1" ht="15" customHeight="1" x14ac:dyDescent="0.2">
      <c r="B773" s="39"/>
      <c r="C773" s="15"/>
      <c r="D773" s="15"/>
      <c r="E773" s="16"/>
      <c r="F773" s="17"/>
      <c r="G773" s="17"/>
      <c r="H773" s="61"/>
      <c r="I773" s="17"/>
      <c r="J773" s="41"/>
      <c r="K773" s="41"/>
      <c r="L773" s="41"/>
      <c r="M773" s="48"/>
      <c r="N773" s="41"/>
      <c r="O773" s="41"/>
      <c r="P773" s="41"/>
    </row>
    <row r="774" spans="2:16" s="11" customFormat="1" ht="15" customHeight="1" x14ac:dyDescent="0.2">
      <c r="B774" s="39"/>
      <c r="C774" s="15"/>
      <c r="D774" s="15"/>
      <c r="E774" s="16"/>
      <c r="F774" s="17"/>
      <c r="G774" s="17"/>
      <c r="H774" s="61"/>
      <c r="I774" s="17"/>
      <c r="J774" s="41"/>
      <c r="K774" s="41"/>
      <c r="L774" s="41"/>
      <c r="M774" s="48"/>
      <c r="N774" s="41"/>
      <c r="O774" s="41"/>
      <c r="P774" s="41"/>
    </row>
    <row r="775" spans="2:16" s="11" customFormat="1" ht="15" customHeight="1" x14ac:dyDescent="0.2">
      <c r="B775" s="39"/>
      <c r="C775" s="15"/>
      <c r="D775" s="15"/>
      <c r="E775" s="16"/>
      <c r="F775" s="17"/>
      <c r="G775" s="17"/>
      <c r="H775" s="61"/>
      <c r="I775" s="17"/>
      <c r="J775" s="41"/>
      <c r="K775" s="41"/>
      <c r="L775" s="41"/>
      <c r="M775" s="48"/>
      <c r="N775" s="41"/>
      <c r="O775" s="41"/>
      <c r="P775" s="41"/>
    </row>
    <row r="776" spans="2:16" s="11" customFormat="1" ht="15" customHeight="1" x14ac:dyDescent="0.2">
      <c r="B776" s="39"/>
      <c r="C776" s="15"/>
      <c r="D776" s="15"/>
      <c r="E776" s="16"/>
      <c r="F776" s="17"/>
      <c r="G776" s="17"/>
      <c r="H776" s="61"/>
      <c r="I776" s="17"/>
      <c r="J776" s="41"/>
      <c r="K776" s="41"/>
      <c r="L776" s="41"/>
      <c r="M776" s="48"/>
      <c r="N776" s="41"/>
      <c r="O776" s="41"/>
      <c r="P776" s="41"/>
    </row>
    <row r="777" spans="2:16" s="11" customFormat="1" ht="15" customHeight="1" x14ac:dyDescent="0.2">
      <c r="B777" s="39"/>
      <c r="C777" s="15"/>
      <c r="D777" s="15"/>
      <c r="E777" s="16"/>
      <c r="F777" s="17"/>
      <c r="G777" s="17"/>
      <c r="H777" s="61"/>
      <c r="I777" s="17"/>
      <c r="J777" s="41"/>
      <c r="K777" s="41"/>
      <c r="L777" s="41"/>
      <c r="M777" s="48"/>
      <c r="N777" s="41"/>
      <c r="O777" s="41"/>
      <c r="P777" s="41"/>
    </row>
    <row r="778" spans="2:16" s="11" customFormat="1" ht="15" customHeight="1" x14ac:dyDescent="0.2">
      <c r="B778" s="39"/>
      <c r="C778" s="15"/>
      <c r="D778" s="15"/>
      <c r="E778" s="16"/>
      <c r="F778" s="17"/>
      <c r="G778" s="17"/>
      <c r="H778" s="61"/>
      <c r="I778" s="17"/>
      <c r="J778" s="41"/>
      <c r="K778" s="41"/>
      <c r="L778" s="41"/>
      <c r="M778" s="48"/>
      <c r="N778" s="41"/>
      <c r="O778" s="41"/>
      <c r="P778" s="41"/>
    </row>
    <row r="779" spans="2:16" s="11" customFormat="1" ht="15" customHeight="1" x14ac:dyDescent="0.2">
      <c r="B779" s="39"/>
      <c r="C779" s="15"/>
      <c r="D779" s="15"/>
      <c r="E779" s="16"/>
      <c r="F779" s="17"/>
      <c r="G779" s="17"/>
      <c r="H779" s="61"/>
      <c r="I779" s="17"/>
      <c r="J779" s="41"/>
      <c r="K779" s="41"/>
      <c r="L779" s="41"/>
      <c r="M779" s="48"/>
      <c r="N779" s="41"/>
      <c r="O779" s="41"/>
      <c r="P779" s="41"/>
    </row>
    <row r="780" spans="2:16" s="11" customFormat="1" ht="15" customHeight="1" x14ac:dyDescent="0.2">
      <c r="B780" s="39"/>
      <c r="C780" s="15"/>
      <c r="D780" s="15"/>
      <c r="E780" s="16"/>
      <c r="F780" s="17"/>
      <c r="G780" s="17"/>
      <c r="H780" s="61"/>
      <c r="I780" s="17"/>
      <c r="J780" s="41"/>
      <c r="K780" s="41"/>
      <c r="L780" s="41"/>
      <c r="M780" s="48"/>
      <c r="N780" s="41"/>
      <c r="O780" s="41"/>
      <c r="P780" s="41"/>
    </row>
    <row r="781" spans="2:16" s="11" customFormat="1" ht="15" customHeight="1" x14ac:dyDescent="0.2">
      <c r="B781" s="39"/>
      <c r="C781" s="15"/>
      <c r="D781" s="15"/>
      <c r="E781" s="16"/>
      <c r="F781" s="17"/>
      <c r="G781" s="17"/>
      <c r="H781" s="61"/>
      <c r="I781" s="17"/>
      <c r="J781" s="41"/>
      <c r="K781" s="41"/>
      <c r="L781" s="41"/>
      <c r="M781" s="48"/>
      <c r="N781" s="41"/>
      <c r="O781" s="41"/>
      <c r="P781" s="41"/>
    </row>
    <row r="782" spans="2:16" s="11" customFormat="1" ht="15" customHeight="1" x14ac:dyDescent="0.2">
      <c r="B782" s="39"/>
      <c r="C782" s="15"/>
      <c r="D782" s="15"/>
      <c r="E782" s="16"/>
      <c r="F782" s="17"/>
      <c r="G782" s="17"/>
      <c r="H782" s="61"/>
      <c r="I782" s="17"/>
      <c r="J782" s="41"/>
      <c r="K782" s="41"/>
      <c r="L782" s="41"/>
      <c r="M782" s="48"/>
      <c r="N782" s="41"/>
      <c r="O782" s="41"/>
      <c r="P782" s="41"/>
    </row>
    <row r="783" spans="2:16" s="11" customFormat="1" ht="15" customHeight="1" x14ac:dyDescent="0.2">
      <c r="B783" s="39"/>
      <c r="C783" s="15"/>
      <c r="D783" s="15"/>
      <c r="E783" s="16"/>
      <c r="F783" s="17"/>
      <c r="G783" s="17"/>
      <c r="H783" s="61"/>
      <c r="I783" s="17"/>
      <c r="J783" s="41"/>
      <c r="K783" s="41"/>
      <c r="L783" s="41"/>
      <c r="M783" s="48"/>
      <c r="N783" s="41"/>
      <c r="O783" s="41"/>
      <c r="P783" s="41"/>
    </row>
    <row r="784" spans="2:16" s="11" customFormat="1" ht="15" customHeight="1" x14ac:dyDescent="0.2">
      <c r="B784" s="39"/>
      <c r="C784" s="15"/>
      <c r="D784" s="15"/>
      <c r="E784" s="16"/>
      <c r="F784" s="17"/>
      <c r="G784" s="17"/>
      <c r="H784" s="61"/>
      <c r="I784" s="17"/>
      <c r="J784" s="41"/>
      <c r="K784" s="41"/>
      <c r="L784" s="41"/>
      <c r="M784" s="48"/>
      <c r="N784" s="41"/>
      <c r="O784" s="41"/>
      <c r="P784" s="41"/>
    </row>
    <row r="785" spans="2:16" s="11" customFormat="1" ht="15" customHeight="1" x14ac:dyDescent="0.2">
      <c r="B785" s="39"/>
      <c r="C785" s="15"/>
      <c r="D785" s="15"/>
      <c r="E785" s="16"/>
      <c r="F785" s="17"/>
      <c r="G785" s="17"/>
      <c r="H785" s="61"/>
      <c r="I785" s="17"/>
      <c r="J785" s="41"/>
      <c r="K785" s="41"/>
      <c r="L785" s="41"/>
      <c r="M785" s="48"/>
      <c r="N785" s="41"/>
      <c r="O785" s="41"/>
      <c r="P785" s="41"/>
    </row>
    <row r="786" spans="2:16" s="11" customFormat="1" ht="15" customHeight="1" x14ac:dyDescent="0.2">
      <c r="B786" s="39"/>
      <c r="C786" s="15"/>
      <c r="D786" s="15"/>
      <c r="E786" s="16"/>
      <c r="F786" s="17"/>
      <c r="G786" s="17"/>
      <c r="H786" s="61"/>
      <c r="I786" s="17"/>
      <c r="J786" s="41"/>
      <c r="K786" s="41"/>
      <c r="L786" s="41"/>
      <c r="M786" s="48"/>
      <c r="N786" s="41"/>
      <c r="O786" s="41"/>
      <c r="P786" s="41"/>
    </row>
    <row r="787" spans="2:16" s="11" customFormat="1" ht="15" customHeight="1" x14ac:dyDescent="0.2">
      <c r="B787" s="39"/>
      <c r="C787" s="15"/>
      <c r="D787" s="15"/>
      <c r="E787" s="16"/>
      <c r="F787" s="17"/>
      <c r="G787" s="17"/>
      <c r="H787" s="61"/>
      <c r="I787" s="17"/>
      <c r="J787" s="41"/>
      <c r="K787" s="41"/>
      <c r="L787" s="41"/>
      <c r="M787" s="48"/>
      <c r="N787" s="41"/>
      <c r="O787" s="41"/>
      <c r="P787" s="41"/>
    </row>
    <row r="788" spans="2:16" s="11" customFormat="1" ht="15" customHeight="1" x14ac:dyDescent="0.2">
      <c r="B788" s="39"/>
      <c r="C788" s="15"/>
      <c r="D788" s="15"/>
      <c r="E788" s="16"/>
      <c r="F788" s="17"/>
      <c r="G788" s="17"/>
      <c r="H788" s="61"/>
      <c r="I788" s="17"/>
      <c r="J788" s="41"/>
      <c r="K788" s="41"/>
      <c r="L788" s="41"/>
      <c r="M788" s="48"/>
      <c r="N788" s="41"/>
      <c r="O788" s="41"/>
      <c r="P788" s="41"/>
    </row>
    <row r="789" spans="2:16" s="11" customFormat="1" ht="15" customHeight="1" x14ac:dyDescent="0.2">
      <c r="B789" s="39"/>
      <c r="C789" s="15"/>
      <c r="D789" s="15"/>
      <c r="E789" s="16"/>
      <c r="F789" s="17"/>
      <c r="G789" s="17"/>
      <c r="H789" s="61"/>
      <c r="I789" s="17"/>
      <c r="J789" s="41"/>
      <c r="K789" s="41"/>
      <c r="L789" s="41"/>
      <c r="M789" s="48"/>
      <c r="N789" s="41"/>
      <c r="O789" s="41"/>
      <c r="P789" s="41"/>
    </row>
    <row r="790" spans="2:16" s="11" customFormat="1" ht="15" customHeight="1" x14ac:dyDescent="0.2">
      <c r="B790" s="39"/>
      <c r="C790" s="15"/>
      <c r="D790" s="15"/>
      <c r="E790" s="16"/>
      <c r="F790" s="17"/>
      <c r="G790" s="17"/>
      <c r="H790" s="61"/>
      <c r="I790" s="17"/>
      <c r="J790" s="41"/>
      <c r="K790" s="41"/>
      <c r="L790" s="41"/>
      <c r="M790" s="48"/>
      <c r="N790" s="41"/>
      <c r="O790" s="41"/>
      <c r="P790" s="41"/>
    </row>
    <row r="791" spans="2:16" s="11" customFormat="1" ht="15" customHeight="1" x14ac:dyDescent="0.2">
      <c r="B791" s="39"/>
      <c r="C791" s="15"/>
      <c r="D791" s="15"/>
      <c r="E791" s="16"/>
      <c r="F791" s="17"/>
      <c r="G791" s="17"/>
      <c r="H791" s="61"/>
      <c r="I791" s="17"/>
      <c r="J791" s="41"/>
      <c r="K791" s="41"/>
      <c r="L791" s="41"/>
      <c r="M791" s="48"/>
      <c r="N791" s="41"/>
      <c r="O791" s="41"/>
      <c r="P791" s="41"/>
    </row>
    <row r="792" spans="2:16" s="11" customFormat="1" ht="15" customHeight="1" x14ac:dyDescent="0.2">
      <c r="B792" s="39"/>
      <c r="C792" s="15"/>
      <c r="D792" s="15"/>
      <c r="E792" s="16"/>
      <c r="F792" s="17"/>
      <c r="G792" s="17"/>
      <c r="H792" s="61"/>
      <c r="I792" s="17"/>
      <c r="J792" s="41"/>
      <c r="K792" s="41"/>
      <c r="L792" s="41"/>
      <c r="M792" s="48"/>
      <c r="N792" s="41"/>
      <c r="O792" s="41"/>
      <c r="P792" s="41"/>
    </row>
    <row r="793" spans="2:16" s="11" customFormat="1" ht="15" customHeight="1" x14ac:dyDescent="0.2">
      <c r="B793" s="39"/>
      <c r="C793" s="15"/>
      <c r="D793" s="15"/>
      <c r="E793" s="16"/>
      <c r="F793" s="17"/>
      <c r="G793" s="17"/>
      <c r="H793" s="61"/>
      <c r="I793" s="17"/>
      <c r="J793" s="41"/>
      <c r="K793" s="41"/>
      <c r="L793" s="41"/>
      <c r="M793" s="48"/>
      <c r="N793" s="41"/>
      <c r="O793" s="41"/>
      <c r="P793" s="41"/>
    </row>
    <row r="794" spans="2:16" s="11" customFormat="1" ht="15" customHeight="1" x14ac:dyDescent="0.2">
      <c r="B794" s="39"/>
      <c r="C794" s="15"/>
      <c r="D794" s="15"/>
      <c r="E794" s="16"/>
      <c r="F794" s="17"/>
      <c r="G794" s="17"/>
      <c r="H794" s="61"/>
      <c r="I794" s="17"/>
      <c r="J794" s="41"/>
      <c r="K794" s="41"/>
      <c r="L794" s="41"/>
      <c r="M794" s="48"/>
      <c r="N794" s="41"/>
      <c r="O794" s="41"/>
      <c r="P794" s="41"/>
    </row>
    <row r="795" spans="2:16" s="11" customFormat="1" ht="15" customHeight="1" x14ac:dyDescent="0.2">
      <c r="B795" s="39"/>
      <c r="C795" s="15"/>
      <c r="D795" s="15"/>
      <c r="E795" s="16"/>
      <c r="F795" s="17"/>
      <c r="G795" s="17"/>
      <c r="H795" s="61"/>
      <c r="I795" s="17"/>
      <c r="J795" s="41"/>
      <c r="K795" s="41"/>
      <c r="L795" s="41"/>
      <c r="M795" s="48"/>
      <c r="N795" s="41"/>
      <c r="O795" s="41"/>
      <c r="P795" s="41"/>
    </row>
    <row r="796" spans="2:16" s="11" customFormat="1" ht="15" customHeight="1" x14ac:dyDescent="0.2">
      <c r="B796" s="39"/>
      <c r="C796" s="15"/>
      <c r="D796" s="15"/>
      <c r="E796" s="16"/>
      <c r="F796" s="17"/>
      <c r="G796" s="17"/>
      <c r="H796" s="61"/>
      <c r="I796" s="17"/>
      <c r="J796" s="41"/>
      <c r="K796" s="41"/>
      <c r="L796" s="41"/>
      <c r="M796" s="48"/>
      <c r="N796" s="41"/>
      <c r="O796" s="41"/>
      <c r="P796" s="41"/>
    </row>
    <row r="797" spans="2:16" s="11" customFormat="1" ht="15" customHeight="1" x14ac:dyDescent="0.2">
      <c r="B797" s="39"/>
      <c r="C797" s="15"/>
      <c r="D797" s="15"/>
      <c r="E797" s="16"/>
      <c r="F797" s="17"/>
      <c r="G797" s="17"/>
      <c r="H797" s="61"/>
      <c r="I797" s="17"/>
      <c r="J797" s="41"/>
      <c r="K797" s="41"/>
      <c r="L797" s="41"/>
      <c r="M797" s="48"/>
      <c r="N797" s="41"/>
      <c r="O797" s="41"/>
      <c r="P797" s="41"/>
    </row>
    <row r="798" spans="2:16" s="11" customFormat="1" ht="15" customHeight="1" x14ac:dyDescent="0.2">
      <c r="B798" s="39"/>
      <c r="C798" s="15"/>
      <c r="D798" s="15"/>
      <c r="E798" s="16"/>
      <c r="F798" s="17"/>
      <c r="G798" s="17"/>
      <c r="H798" s="61"/>
      <c r="I798" s="17"/>
      <c r="J798" s="41"/>
      <c r="K798" s="41"/>
      <c r="L798" s="41"/>
      <c r="M798" s="48"/>
      <c r="N798" s="41"/>
      <c r="O798" s="41"/>
      <c r="P798" s="41"/>
    </row>
    <row r="799" spans="2:16" s="11" customFormat="1" ht="15" customHeight="1" x14ac:dyDescent="0.2">
      <c r="B799" s="39"/>
      <c r="C799" s="15"/>
      <c r="D799" s="15"/>
      <c r="E799" s="16"/>
      <c r="F799" s="17"/>
      <c r="G799" s="17"/>
      <c r="H799" s="61"/>
      <c r="I799" s="17"/>
      <c r="J799" s="41"/>
      <c r="K799" s="41"/>
      <c r="L799" s="41"/>
      <c r="M799" s="48"/>
      <c r="N799" s="41"/>
      <c r="O799" s="41"/>
      <c r="P799" s="41"/>
    </row>
  </sheetData>
  <sheetProtection algorithmName="SHA-512" hashValue="hEzEnGjSpjdBXatg0sVsQd4TiKCKsm4g7CtHdoilgl1i9N2FAzMsd5JbEdCJwnMabEpFgABscV7XWsP5Pahfxg==" saltValue="SMwcl0Dple2bxtLM7/ESJg==" spinCount="100000" sheet="1" autoFilter="0"/>
  <sortState xmlns:xlrd2="http://schemas.microsoft.com/office/spreadsheetml/2017/richdata2" ref="A2:F249">
    <sortCondition ref="A1:A249"/>
  </sortState>
  <phoneticPr fontId="5" type="noConversion"/>
  <conditionalFormatting sqref="A804:A1048576 A1:A761">
    <cfRule type="duplicateValues" dxfId="0" priority="3"/>
  </conditionalFormatting>
  <pageMargins left="0.7" right="0.7" top="0.75" bottom="0.75" header="0.3" footer="0.3"/>
  <pageSetup paperSize="9" orientation="landscape" horizontalDpi="300" verticalDpi="30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Oranlar</vt:lpstr>
      <vt:lpstr>Oranlar!Yazdırma_Alanı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Furkan Günaydın</dc:creator>
  <cp:lastModifiedBy>Furkan Günaydın</cp:lastModifiedBy>
  <cp:lastPrinted>2025-03-07T18:53:36Z</cp:lastPrinted>
  <dcterms:created xsi:type="dcterms:W3CDTF">2015-06-05T18:19:34Z</dcterms:created>
  <dcterms:modified xsi:type="dcterms:W3CDTF">2025-06-13T20:51:10Z</dcterms:modified>
</cp:coreProperties>
</file>